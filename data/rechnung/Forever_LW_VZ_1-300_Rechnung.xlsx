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Übersicht" sheetId="1" state="visible" r:id="rId3"/>
    <sheet name="Preise" sheetId="2" state="visible" r:id="rId4"/>
    <sheet name="Bedarf" sheetId="3" state="visible" r:id="rId5"/>
    <sheet name="Kreislauf" sheetId="4" state="visible" r:id="rId6"/>
    <sheet name="Produkte" sheetId="5" state="visible" r:id="rId7"/>
    <sheet name="Quellen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<sst xmlns="http://schemas.openxmlformats.org/spreadsheetml/2006/main" count="1321" uniqueCount="597">
  <si>
    <t xml:space="preserve">WoW Forever · Lederverarbeitung und Verzauberkunst 1-300 · Rechnung</t>
  </si>
  <si>
    <t xml:space="preserve">Stand 12.10.2026 · Mengen: Wowhead-Guides (Classic Era) · Preise: AHledger, Scans aus der Forever-Beta (Horde US, Stufenlimit 30)</t>
  </si>
  <si>
    <t xml:space="preserve">Markt</t>
  </si>
  <si>
    <t xml:space="preserve">NH</t>
  </si>
  <si>
    <t xml:space="preserve">NH = Normal Horde US, PH = PvP Horde US</t>
  </si>
  <si>
    <t xml:space="preserve">Preisbasis</t>
  </si>
  <si>
    <t xml:space="preserve">jetzt</t>
  </si>
  <si>
    <t xml:space="preserve">jetzt = aktueller Median, 30d = Median der letzten 30 Tage</t>
  </si>
  <si>
    <t xml:space="preserve">Schwelle dünner Markt</t>
  </si>
  <si>
    <t xml:space="preserve">Preise mit weniger gelisteten Stück gelten als «dünn» (meine Wahl, frei änderbar)</t>
  </si>
  <si>
    <t xml:space="preserve">Band (Fertigkeit)</t>
  </si>
  <si>
    <t xml:space="preserve">LW Kosten (Gold)</t>
  </si>
  <si>
    <t xml:space="preserve">LW in g/s/c</t>
  </si>
  <si>
    <t xml:space="preserve">LW Posten ohne Preis</t>
  </si>
  <si>
    <t xml:space="preserve">LW Posten dünner Markt</t>
  </si>
  <si>
    <t xml:space="preserve">VZ Kosten (Gold)</t>
  </si>
  <si>
    <t xml:space="preserve">VZ in g/s/c</t>
  </si>
  <si>
    <t xml:space="preserve">VZ Posten ohne Preis</t>
  </si>
  <si>
    <t xml:space="preserve">VZ Posten dünner Markt</t>
  </si>
  <si>
    <t xml:space="preserve">LW + VZ (Gold)</t>
  </si>
  <si>
    <t xml:space="preserve">1-100</t>
  </si>
  <si>
    <t xml:space="preserve">100-150</t>
  </si>
  <si>
    <t xml:space="preserve">150-200</t>
  </si>
  <si>
    <t xml:space="preserve">200-250</t>
  </si>
  <si>
    <t xml:space="preserve">250-300</t>
  </si>
  <si>
    <t xml:space="preserve">Summe 1-300</t>
  </si>
  <si>
    <t xml:space="preserve">davon 1-200</t>
  </si>
  <si>
    <t xml:space="preserve">VZ-Material aus eigener Entzauberung der LW-Teile (Wert, Gold)</t>
  </si>
  <si>
    <t xml:space="preserve">VZ netto zu kaufen (Gold)</t>
  </si>
  <si>
    <t xml:space="preserve">LW + VZ netto (Gold)</t>
  </si>
  <si>
    <t xml:space="preserve">So liest du das Blatt</t>
  </si>
  <si>
    <t xml:space="preserve">Gelb = hier änderst du: Markt (B4), Preisbasis (B5), Schwelle (B6); im Blatt Preise die Spalte «Eigener Preis»; im Blatt Kreislauf die Chancen.</t>
  </si>
  <si>
    <t xml:space="preserve">Beispiel: Am 04.11. kostet Medium Leather 3s 50c → im Blatt Preise bei Medium Leather in Spalte K «3.5» eintragen. Alles rechnet neu.</t>
  </si>
  <si>
    <t xml:space="preserve">Blau = Werte aus Quellen (Wowhead, AHledger, Blizzard Dev Notes). Grün = Bezug auf ein anderes Blatt. Schwarz = Formel.</t>
  </si>
  <si>
    <t xml:space="preserve">Die Mengen sind Wowheads Classic-Era-Routen. Forever weicht ab (LW-Rezepte rund 25 Punkte tiefer, einige VZ-Rezepte der Route fehlen in Forever). Siehe Bemerkungen im Blatt Bedarf.</t>
  </si>
  <si>
    <t xml:space="preserve">Posten ohne Preis zählen als 0: Die Summe ist dann zu tief. «Dünner Markt» = wenige gelistete Stück, der Preis ist ein Zufallswert.</t>
  </si>
  <si>
    <t xml:space="preserve">Materialliste (Summe der Routenschritte; zum Vergleich Wowheads eigene Einkaufsliste)</t>
  </si>
  <si>
    <t xml:space="preserve">Material</t>
  </si>
  <si>
    <t xml:space="preserve">Beruf</t>
  </si>
  <si>
    <t xml:space="preserve">Menge Route</t>
  </si>
  <si>
    <t xml:space="preserve">Menge Wowhead-Liste</t>
  </si>
  <si>
    <t xml:space="preserve">Rechenpreis (s)</t>
  </si>
  <si>
    <t xml:space="preserve">Kosten (Gold)</t>
  </si>
  <si>
    <t xml:space="preserve">Hinweis</t>
  </si>
  <si>
    <t xml:space="preserve">Ruined Leather Scraps</t>
  </si>
  <si>
    <t xml:space="preserve">LW</t>
  </si>
  <si>
    <t xml:space="preserve">Light Leather</t>
  </si>
  <si>
    <t xml:space="preserve">Light Hide</t>
  </si>
  <si>
    <t xml:space="preserve">Salt</t>
  </si>
  <si>
    <t xml:space="preserve">40 (135)</t>
  </si>
  <si>
    <t xml:space="preserve">Coarse Thread</t>
  </si>
  <si>
    <t xml:space="preserve">Medium Hide</t>
  </si>
  <si>
    <t xml:space="preserve">Medium Leather</t>
  </si>
  <si>
    <t xml:space="preserve">Fine Thread</t>
  </si>
  <si>
    <t xml:space="preserve">Gray Dye</t>
  </si>
  <si>
    <t xml:space="preserve">Heavy Hide</t>
  </si>
  <si>
    <t xml:space="preserve">5 (40)</t>
  </si>
  <si>
    <t xml:space="preserve">Heavy Leather</t>
  </si>
  <si>
    <t xml:space="preserve">Silken Thread</t>
  </si>
  <si>
    <t xml:space="preserve">Thick Leather</t>
  </si>
  <si>
    <t xml:space="preserve">Rugged Leather</t>
  </si>
  <si>
    <t xml:space="preserve">Black Dye</t>
  </si>
  <si>
    <t xml:space="preserve">Rune Thread</t>
  </si>
  <si>
    <t xml:space="preserve">Copper Rod</t>
  </si>
  <si>
    <t xml:space="preserve">VZ</t>
  </si>
  <si>
    <t xml:space="preserve">Strange Dust</t>
  </si>
  <si>
    <t xml:space="preserve">Lesser Magic Essence</t>
  </si>
  <si>
    <t xml:space="preserve">Silver Rod</t>
  </si>
  <si>
    <t xml:space="preserve">Greater Magic Essence</t>
  </si>
  <si>
    <t xml:space="preserve">Shadowgem</t>
  </si>
  <si>
    <t xml:space="preserve">nicht in Liste</t>
  </si>
  <si>
    <t xml:space="preserve">Simple Wood</t>
  </si>
  <si>
    <t xml:space="preserve">Lesser Astral Essence</t>
  </si>
  <si>
    <t xml:space="preserve">Soul Dust</t>
  </si>
  <si>
    <t xml:space="preserve">Golden Rod</t>
  </si>
  <si>
    <t xml:space="preserve">Iridescent Pearl</t>
  </si>
  <si>
    <t xml:space="preserve">Greater Astral Essence</t>
  </si>
  <si>
    <t xml:space="preserve">Vision Dust</t>
  </si>
  <si>
    <t xml:space="preserve">Truesilver Rod</t>
  </si>
  <si>
    <t xml:space="preserve">Black Pearl</t>
  </si>
  <si>
    <t xml:space="preserve">Greater Mystic Essence</t>
  </si>
  <si>
    <t xml:space="preserve">Lesser Nether Essence</t>
  </si>
  <si>
    <t xml:space="preserve">Dream Dust</t>
  </si>
  <si>
    <t xml:space="preserve">Purple Lotus</t>
  </si>
  <si>
    <t xml:space="preserve">Crystal Vial</t>
  </si>
  <si>
    <t xml:space="preserve">Arcanite Rod</t>
  </si>
  <si>
    <t xml:space="preserve">Golden Pearl</t>
  </si>
  <si>
    <t xml:space="preserve">Illusion Dust</t>
  </si>
  <si>
    <t xml:space="preserve">Greater Eternal Essence</t>
  </si>
  <si>
    <t xml:space="preserve">4 + 4</t>
  </si>
  <si>
    <t xml:space="preserve">Small Brilliant Shard</t>
  </si>
  <si>
    <t xml:space="preserve">Large Brilliant Shard</t>
  </si>
  <si>
    <t xml:space="preserve">Preise in Silber (1 Gold = 100 Silber, 1 Silber = 100 Kupfer). Marktpreise: AHledger, Forever-Beta, Horde US. Gelbe Spalte K: eigener Preis überschreibt alles.</t>
  </si>
  <si>
    <t xml:space="preserve">Händlerpreis (s)</t>
  </si>
  <si>
    <t xml:space="preserve">NH Median (s)</t>
  </si>
  <si>
    <t xml:space="preserve">PH Median (s)</t>
  </si>
  <si>
    <t xml:space="preserve">NH 30 Tage (s)</t>
  </si>
  <si>
    <t xml:space="preserve">PH 30 Tage (s)</t>
  </si>
  <si>
    <t xml:space="preserve">NH gelistet (Stück)</t>
  </si>
  <si>
    <t xml:space="preserve">PH gelistet (Stück)</t>
  </si>
  <si>
    <t xml:space="preserve">Stand Seite</t>
  </si>
  <si>
    <t xml:space="preserve">Eigener Preis (s)</t>
  </si>
  <si>
    <t xml:space="preserve">Quelle</t>
  </si>
  <si>
    <t xml:space="preserve">Bemerkung</t>
  </si>
  <si>
    <t xml:space="preserve">12.10.</t>
  </si>
  <si>
    <t xml:space="preserve">https://ahledger.com/items/2934-ruined-leather-scraps</t>
  </si>
  <si>
    <t xml:space="preserve">https://ahledger.com/items/2318-light-leather</t>
  </si>
  <si>
    <t xml:space="preserve">https://ahledger.com/items/2319-medium-leather</t>
  </si>
  <si>
    <t xml:space="preserve">08.10.</t>
  </si>
  <si>
    <t xml:space="preserve">https://ahledger.com/items/4234-heavy-leather</t>
  </si>
  <si>
    <t xml:space="preserve">Marktseite 12.10.: NH 9.40 s, PH 9.13 s</t>
  </si>
  <si>
    <t xml:space="preserve">https://ahledger.com/items/4304-thick-leather</t>
  </si>
  <si>
    <t xml:space="preserve">05.10.</t>
  </si>
  <si>
    <t xml:space="preserve">https://ahledger.com/items/8170-rugged-leather</t>
  </si>
  <si>
    <t xml:space="preserve">Beta bis Stufe 30: kaum Angebot</t>
  </si>
  <si>
    <t xml:space="preserve">09.10.</t>
  </si>
  <si>
    <t xml:space="preserve">https://ahledger.com/items/783-light-hide</t>
  </si>
  <si>
    <t xml:space="preserve">30.09.</t>
  </si>
  <si>
    <t xml:space="preserve">https://ahledger.com/items/4232-medium-hide</t>
  </si>
  <si>
    <t xml:space="preserve">https://ahledger.com/items/4235-heavy-hide</t>
  </si>
  <si>
    <t xml:space="preserve">https://ahledger.com/items/4289-salt</t>
  </si>
  <si>
    <t xml:space="preserve">Händlerpreis laut AHledger</t>
  </si>
  <si>
    <t xml:space="preserve">https://ahledger.com/items/2320-coarse-thread</t>
  </si>
  <si>
    <t xml:space="preserve">Händlerpreis laut warcraft.wiki.gg (Version nicht angegeben)</t>
  </si>
  <si>
    <t xml:space="preserve">03.10.</t>
  </si>
  <si>
    <t xml:space="preserve">https://ahledger.com/items/2321-fine-thread</t>
  </si>
  <si>
    <t xml:space="preserve">Händlerpreis laut AHledger und warcraft.wiki.gg</t>
  </si>
  <si>
    <t xml:space="preserve">27.09.</t>
  </si>
  <si>
    <t xml:space="preserve">https://ahledger.com/items/4291-silken-thread</t>
  </si>
  <si>
    <t xml:space="preserve">Händlerpreis laut warcraft.wiki.gg (Version nicht angegeben, für Forever ungeprüft)</t>
  </si>
  <si>
    <t xml:space="preserve">https://ahledger.com/items/14341-rune-thread</t>
  </si>
  <si>
    <t xml:space="preserve">https://ahledger.com/items/4340-gray-dye</t>
  </si>
  <si>
    <t xml:space="preserve">https://ahledger.com/items/2325-black-dye</t>
  </si>
  <si>
    <t xml:space="preserve">https://ahledger.com/items/10940-strange-dust</t>
  </si>
  <si>
    <t xml:space="preserve">https://ahledger.com/items/11083-soul-dust</t>
  </si>
  <si>
    <t xml:space="preserve">https://ahledger.com/items/11137-vision-dust</t>
  </si>
  <si>
    <t xml:space="preserve">https://ahledger.com/items/11176-dream-dust</t>
  </si>
  <si>
    <t xml:space="preserve">https://ahledger.com/items/16204-illusion-dust</t>
  </si>
  <si>
    <t xml:space="preserve">NH: 2 Stück, Ausnahmewert</t>
  </si>
  <si>
    <t xml:space="preserve">https://ahledger.com/items/10938-lesser-magic-essence</t>
  </si>
  <si>
    <t xml:space="preserve">https://ahledger.com/items/10939-greater-magic-essence</t>
  </si>
  <si>
    <t xml:space="preserve">https://ahledger.com/items/10998-lesser-astral-essence</t>
  </si>
  <si>
    <t xml:space="preserve">https://ahledger.com/items/11082-greater-astral-essence</t>
  </si>
  <si>
    <t xml:space="preserve">Lesser Mystic Essence</t>
  </si>
  <si>
    <t xml:space="preserve">https://ahledger.com/items/11134-lesser-mystic-essence</t>
  </si>
  <si>
    <t xml:space="preserve">https://ahledger.com/items/11135-greater-mystic-essence</t>
  </si>
  <si>
    <t xml:space="preserve">https://ahledger.com/items/11174-lesser-nether-essence</t>
  </si>
  <si>
    <t xml:space="preserve">Greater Nether Essence</t>
  </si>
  <si>
    <t xml:space="preserve">https://ahledger.com/items/11175-greater-nether-essence</t>
  </si>
  <si>
    <t xml:space="preserve">Lesser Eternal Essence</t>
  </si>
  <si>
    <t xml:space="preserve">https://ahledger.com/items/16202-lesser-eternal-essence</t>
  </si>
  <si>
    <t xml:space="preserve">https://ahledger.com/items/16203-greater-eternal-essence</t>
  </si>
  <si>
    <t xml:space="preserve">NH: keine Zeile</t>
  </si>
  <si>
    <t xml:space="preserve">Small Glimmering Shard</t>
  </si>
  <si>
    <t xml:space="preserve">https://ahledger.com/items/10978-small-glimmering-shard</t>
  </si>
  <si>
    <t xml:space="preserve">Large Glimmering Shard</t>
  </si>
  <si>
    <t xml:space="preserve">https://ahledger.com/items/11084-large-glimmering-shard</t>
  </si>
  <si>
    <t xml:space="preserve">Small Glowing Shard</t>
  </si>
  <si>
    <t xml:space="preserve">https://ahledger.com/items/11138-small-glowing-shard</t>
  </si>
  <si>
    <t xml:space="preserve">Large Glowing Shard</t>
  </si>
  <si>
    <t xml:space="preserve">https://ahledger.com/items/11139-large-glowing-shard</t>
  </si>
  <si>
    <t xml:space="preserve">Small Radiant Shard</t>
  </si>
  <si>
    <t xml:space="preserve">https://ahledger.com/items/11177-small-radiant-shard</t>
  </si>
  <si>
    <t xml:space="preserve">Large Radiant Shard</t>
  </si>
  <si>
    <t xml:space="preserve">https://ahledger.com/items/11178-large-radiant-shard</t>
  </si>
  <si>
    <t xml:space="preserve">https://ahledger.com/items/14343-small-brilliant-shard</t>
  </si>
  <si>
    <t xml:space="preserve">10.10.</t>
  </si>
  <si>
    <t xml:space="preserve">https://ahledger.com/items/14344-large-brilliant-shard</t>
  </si>
  <si>
    <t xml:space="preserve">PH: 1 Stück</t>
  </si>
  <si>
    <t xml:space="preserve">–</t>
  </si>
  <si>
    <t xml:space="preserve">https://www.wow-professions.com/forever/enchanting-leveling-guide</t>
  </si>
  <si>
    <t xml:space="preserve">Händlerware, Preis nicht belegt</t>
  </si>
  <si>
    <t xml:space="preserve">02.10.</t>
  </si>
  <si>
    <t xml:space="preserve">https://ahledger.com/items/6338-silver-rod</t>
  </si>
  <si>
    <t xml:space="preserve">Schmiedekunst</t>
  </si>
  <si>
    <t xml:space="preserve">https://ahledger.com/items/11128-golden-rod</t>
  </si>
  <si>
    <t xml:space="preserve">https://ahledger.com/items/11144-truesilver-rod</t>
  </si>
  <si>
    <t xml:space="preserve">keine Scans</t>
  </si>
  <si>
    <t xml:space="preserve">https://ahledger.com/items/16206-arcanite-rod</t>
  </si>
  <si>
    <t xml:space="preserve">Schmiedekunst, in der Beta kein Preis</t>
  </si>
  <si>
    <t xml:space="preserve">https://ahledger.com/items/5500-iridescent-pearl</t>
  </si>
  <si>
    <t xml:space="preserve">https://ahledger.com/items/7971-black-pearl</t>
  </si>
  <si>
    <t xml:space="preserve">https://ahledger.com/items/13926-golden-pearl</t>
  </si>
  <si>
    <t xml:space="preserve">https://ahledger.com/items/1210-shadowgem</t>
  </si>
  <si>
    <t xml:space="preserve">https://ahledger.com/items/4470-simple-wood</t>
  </si>
  <si>
    <t xml:space="preserve">11.10.</t>
  </si>
  <si>
    <t xml:space="preserve">https://ahledger.com/items/8831-purple-lotus</t>
  </si>
  <si>
    <t xml:space="preserve">NH-Median weit über 30-Tage-Median</t>
  </si>
  <si>
    <t xml:space="preserve">https://ahledger.com/items/8925-crystal-vial</t>
  </si>
  <si>
    <t xml:space="preserve">Bedarf nach Wowhead-Route (Classic Era), Schritt für Schritt. Kosten = Menge × Rechenpreis aus Blatt Preise.</t>
  </si>
  <si>
    <t xml:space="preserve">Band</t>
  </si>
  <si>
    <t xml:space="preserve">Fertigkeit</t>
  </si>
  <si>
    <t xml:space="preserve">Rezept</t>
  </si>
  <si>
    <t xml:space="preserve">Menge</t>
  </si>
  <si>
    <t xml:space="preserve">Preis (s)</t>
  </si>
  <si>
    <t xml:space="preserve">Kosten (s)</t>
  </si>
  <si>
    <t xml:space="preserve">ohne Preis</t>
  </si>
  <si>
    <t xml:space="preserve">dünner Markt</t>
  </si>
  <si>
    <t xml:space="preserve">1-30</t>
  </si>
  <si>
    <t xml:space="preserve">Light Leather x30</t>
  </si>
  <si>
    <t xml:space="preserve">30-45</t>
  </si>
  <si>
    <t xml:space="preserve">Light Armor Kit x18</t>
  </si>
  <si>
    <t xml:space="preserve">45-55</t>
  </si>
  <si>
    <t xml:space="preserve">Cured Light Hide x10</t>
  </si>
  <si>
    <t xml:space="preserve">↳ Cured Light Hide x10</t>
  </si>
  <si>
    <t xml:space="preserve">55-85</t>
  </si>
  <si>
    <t xml:space="preserve">Embossed Leather Gloves x30</t>
  </si>
  <si>
    <t xml:space="preserve">in Forever grün (entzauberbar)</t>
  </si>
  <si>
    <t xml:space="preserve">↳ Embossed Leather Gloves x30</t>
  </si>
  <si>
    <t xml:space="preserve">85-100</t>
  </si>
  <si>
    <t xml:space="preserve">Fine Leather Belt x15 (aufheben)</t>
  </si>
  <si>
    <t xml:space="preserve">werden bei 135-150 verbraucht</t>
  </si>
  <si>
    <t xml:space="preserve">↳ Fine Leather Belt x15 (aufheben)</t>
  </si>
  <si>
    <t xml:space="preserve">100-115</t>
  </si>
  <si>
    <t xml:space="preserve">Cured Medium Hide x15 (aufheben)</t>
  </si>
  <si>
    <t xml:space="preserve">↳ Cured Medium Hide x15 (aufheben)</t>
  </si>
  <si>
    <t xml:space="preserve">115-125</t>
  </si>
  <si>
    <t xml:space="preserve">Dark Leather Boots x10</t>
  </si>
  <si>
    <t xml:space="preserve">↳ Dark Leather Boots x10</t>
  </si>
  <si>
    <t xml:space="preserve">125-135</t>
  </si>
  <si>
    <t xml:space="preserve">Dark Leather Boots x12</t>
  </si>
  <si>
    <t xml:space="preserve">↳ Dark Leather Boots x12</t>
  </si>
  <si>
    <t xml:space="preserve">135-150</t>
  </si>
  <si>
    <t xml:space="preserve">Dark Leather Belt x15 (+15 Fine Leather Belt, +15 Cured Medium Hide)</t>
  </si>
  <si>
    <t xml:space="preserve">↳ Dark Leather Belt x15 (+15 Fine Leather Belt, +15 Cured Medium Hide)</t>
  </si>
  <si>
    <t xml:space="preserve">150-155</t>
  </si>
  <si>
    <t xml:space="preserve">Heavy Leather x5 (aufheben)</t>
  </si>
  <si>
    <t xml:space="preserve">Wowhead-Liste kauft trotzdem 230 Heavy Leather</t>
  </si>
  <si>
    <t xml:space="preserve">155-160</t>
  </si>
  <si>
    <t xml:space="preserve">Cured Heavy Hide x5 (aufheben)</t>
  </si>
  <si>
    <t xml:space="preserve">↳ Cured Heavy Hide x5 (aufheben)</t>
  </si>
  <si>
    <t xml:space="preserve">160-180</t>
  </si>
  <si>
    <t xml:space="preserve">Heavy Armor Kit x22</t>
  </si>
  <si>
    <t xml:space="preserve">↳ Heavy Armor Kit x22</t>
  </si>
  <si>
    <t xml:space="preserve">180-190</t>
  </si>
  <si>
    <t xml:space="preserve">Barbaric Shoulders x10 (+10 Cured Heavy Hide)</t>
  </si>
  <si>
    <t xml:space="preserve">↳ Barbaric Shoulders x10 (+10 Cured Heavy Hide)</t>
  </si>
  <si>
    <t xml:space="preserve">190-200</t>
  </si>
  <si>
    <t xml:space="preserve">Guardian Gloves x10 (+10 Cured Heavy Hide)</t>
  </si>
  <si>
    <t xml:space="preserve">↳ Guardian Gloves x10 (+10 Cured Heavy Hide)</t>
  </si>
  <si>
    <t xml:space="preserve">Korrektur</t>
  </si>
  <si>
    <t xml:space="preserve">Cured Heavy Hide x15 (fehlen in der Route: 20 gebraucht, 5 hergestellt)</t>
  </si>
  <si>
    <t xml:space="preserve">von mir ergänzt, nicht von Wowhead</t>
  </si>
  <si>
    <t xml:space="preserve">↳ Cured Heavy Hide x15 (fehlen in der Route: 20 gebraucht, 5 hergestellt)</t>
  </si>
  <si>
    <t xml:space="preserve">200-220</t>
  </si>
  <si>
    <t xml:space="preserve">Thick Armor Kit x20</t>
  </si>
  <si>
    <t xml:space="preserve">↳ Thick Armor Kit x20</t>
  </si>
  <si>
    <t xml:space="preserve">220-230</t>
  </si>
  <si>
    <t xml:space="preserve">Nightscape Headband x11</t>
  </si>
  <si>
    <t xml:space="preserve">Wowhead: 2 für Tribal aufheben</t>
  </si>
  <si>
    <t xml:space="preserve">↳ Nightscape Headband x11</t>
  </si>
  <si>
    <t xml:space="preserve">230-250</t>
  </si>
  <si>
    <t xml:space="preserve">Nightscape Pants x20</t>
  </si>
  <si>
    <t xml:space="preserve">↳ Nightscape Pants x20</t>
  </si>
  <si>
    <t xml:space="preserve">250-260</t>
  </si>
  <si>
    <t xml:space="preserve">Rugged Armor Kit x12</t>
  </si>
  <si>
    <t xml:space="preserve">260-290</t>
  </si>
  <si>
    <t xml:space="preserve">Wicked Leather Gauntlets x32</t>
  </si>
  <si>
    <t xml:space="preserve">Muster vom Händler</t>
  </si>
  <si>
    <t xml:space="preserve">↳ Wicked Leather Gauntlets x32</t>
  </si>
  <si>
    <t xml:space="preserve">290-300</t>
  </si>
  <si>
    <t xml:space="preserve">Wicked Leather Headband x10</t>
  </si>
  <si>
    <t xml:space="preserve">Muster: Weltdrop (~2 % laut Wowhead)</t>
  </si>
  <si>
    <t xml:space="preserve">↳ Wicked Leather Headband x10</t>
  </si>
  <si>
    <t xml:space="preserve">1-2</t>
  </si>
  <si>
    <t xml:space="preserve">Runed Copper Rod</t>
  </si>
  <si>
    <t xml:space="preserve">Forever-Rezept: Copper Rod + Mote of Magic</t>
  </si>
  <si>
    <t xml:space="preserve">↳ Runed Copper Rod</t>
  </si>
  <si>
    <t xml:space="preserve">2-50</t>
  </si>
  <si>
    <t xml:space="preserve">Enchant Bracer - Minor Health x48</t>
  </si>
  <si>
    <t xml:space="preserve">Rezept nicht in der Forever-Liste von AHledger</t>
  </si>
  <si>
    <t xml:space="preserve">50-90</t>
  </si>
  <si>
    <t xml:space="preserve">Enchant Bracer - Minor Health x~60</t>
  </si>
  <si>
    <t xml:space="preserve">90-100</t>
  </si>
  <si>
    <t xml:space="preserve">Enchant Bracer - Minor Stamina x10</t>
  </si>
  <si>
    <t xml:space="preserve">100-101</t>
  </si>
  <si>
    <t xml:space="preserve">Runed Silver Rod</t>
  </si>
  <si>
    <t xml:space="preserve">Shadowgem fehlt in Wowheads Einkaufsliste</t>
  </si>
  <si>
    <t xml:space="preserve">↳ Runed Silver Rod</t>
  </si>
  <si>
    <t xml:space="preserve">101-110</t>
  </si>
  <si>
    <t xml:space="preserve">Greater Magic Wand x9</t>
  </si>
  <si>
    <t xml:space="preserve">↳ Greater Magic Wand x9</t>
  </si>
  <si>
    <t xml:space="preserve">110-135</t>
  </si>
  <si>
    <t xml:space="preserve">Enchant Cloak - Minor Agility x25</t>
  </si>
  <si>
    <t xml:space="preserve">Formel: Händler Stonetalon (Horde)</t>
  </si>
  <si>
    <t xml:space="preserve">135-155</t>
  </si>
  <si>
    <t xml:space="preserve">Enchant Bracer - Lesser Stamina x20</t>
  </si>
  <si>
    <t xml:space="preserve">155-156</t>
  </si>
  <si>
    <t xml:space="preserve">Runed Golden Rod</t>
  </si>
  <si>
    <t xml:space="preserve">↳ Runed Golden Rod</t>
  </si>
  <si>
    <t xml:space="preserve">156-185</t>
  </si>
  <si>
    <t xml:space="preserve">Enchant Bracer - Lesser Strength x~40</t>
  </si>
  <si>
    <t xml:space="preserve">185-200</t>
  </si>
  <si>
    <t xml:space="preserve">Enchant Bracer - Strength x15</t>
  </si>
  <si>
    <t xml:space="preserve">200-201</t>
  </si>
  <si>
    <t xml:space="preserve">Runed Truesilver Rod</t>
  </si>
  <si>
    <t xml:space="preserve">Artisan-Lehrer ab 200: Annora, Uldaman</t>
  </si>
  <si>
    <t xml:space="preserve">↳ Runed Truesilver Rod</t>
  </si>
  <si>
    <t xml:space="preserve">201-220</t>
  </si>
  <si>
    <t xml:space="preserve">Enchant Bracer - Strength x~25</t>
  </si>
  <si>
    <t xml:space="preserve">220-225</t>
  </si>
  <si>
    <t xml:space="preserve">Enchant Cloak - Greater Defense x5</t>
  </si>
  <si>
    <t xml:space="preserve">225-230</t>
  </si>
  <si>
    <t xml:space="preserve">Enchant Gloves - Agility x5</t>
  </si>
  <si>
    <t xml:space="preserve">↳ Enchant Gloves - Agility x5</t>
  </si>
  <si>
    <t xml:space="preserve">230-235</t>
  </si>
  <si>
    <t xml:space="preserve">Enchant Boots - Stamina x5</t>
  </si>
  <si>
    <t xml:space="preserve">235-250</t>
  </si>
  <si>
    <t xml:space="preserve">Enchant Chest - Superior Health x~25</t>
  </si>
  <si>
    <t xml:space="preserve">250-265</t>
  </si>
  <si>
    <t xml:space="preserve">Lesser Mana Oil x~20</t>
  </si>
  <si>
    <t xml:space="preserve">Formel: Kania, Cenarion Hold (Silithus)</t>
  </si>
  <si>
    <t xml:space="preserve">↳ Lesser Mana Oil x~20</t>
  </si>
  <si>
    <t xml:space="preserve">265-294</t>
  </si>
  <si>
    <t xml:space="preserve">Enchant Shield - Greater Stamina x~30</t>
  </si>
  <si>
    <t xml:space="preserve">Formel BoP, Händler Undercity</t>
  </si>
  <si>
    <t xml:space="preserve">294-295</t>
  </si>
  <si>
    <t xml:space="preserve">Runed Arcanite Rod</t>
  </si>
  <si>
    <t xml:space="preserve">Formel: Moonglade</t>
  </si>
  <si>
    <t xml:space="preserve">↳ Runed Arcanite Rod</t>
  </si>
  <si>
    <t xml:space="preserve">295-300</t>
  </si>
  <si>
    <t xml:space="preserve">Enchant Cloak - Superior Defense x5</t>
  </si>
  <si>
    <t xml:space="preserve">Kreislauf: Was die grünen LW-Teile beim Entzaubern liefern (Forever-Stufen, Tabelle wow-professions) und wie viel vom VZ-Bedarf das deckt</t>
  </si>
  <si>
    <t xml:space="preserve">Mengen pro Teil = Chance × Mittelwert der Spanne (Annahme: gleich verteilt). Werte in Silber, Deckung gegen den VZ-Bedarf aus Blatt Bedarf.</t>
  </si>
  <si>
    <t xml:space="preserve">Chance Staub</t>
  </si>
  <si>
    <t xml:space="preserve">Chance Essenz</t>
  </si>
  <si>
    <t xml:space="preserve">Chance Splitter</t>
  </si>
  <si>
    <t xml:space="preserve">3–5 % laut Tabelle, Mitte genommen</t>
  </si>
  <si>
    <t xml:space="preserve">Stufe von</t>
  </si>
  <si>
    <t xml:space="preserve">Stufe bis</t>
  </si>
  <si>
    <t xml:space="preserve">Staub</t>
  </si>
  <si>
    <t xml:space="preserve">Staub min</t>
  </si>
  <si>
    <t xml:space="preserve">Staub max</t>
  </si>
  <si>
    <t xml:space="preserve">Essenz</t>
  </si>
  <si>
    <t xml:space="preserve">Essenz min</t>
  </si>
  <si>
    <t xml:space="preserve">Essenz max</t>
  </si>
  <si>
    <t xml:space="preserve">Splitter</t>
  </si>
  <si>
    <t xml:space="preserve">Grünes LW-Teil</t>
  </si>
  <si>
    <t xml:space="preserve">benötigte Stufe</t>
  </si>
  <si>
    <t xml:space="preserve">Tabellenzeile</t>
  </si>
  <si>
    <t xml:space="preserve">Staub/Teil</t>
  </si>
  <si>
    <t xml:space="preserve">Essenz/Teil</t>
  </si>
  <si>
    <t xml:space="preserve">Splitter/Teil</t>
  </si>
  <si>
    <t xml:space="preserve">Entzauberungswert (s)</t>
  </si>
  <si>
    <t xml:space="preserve">Materialkosten (s)</t>
  </si>
  <si>
    <t xml:space="preserve">Entzaubern − Kosten (s)</t>
  </si>
  <si>
    <t xml:space="preserve">Händler − Kosten (s)</t>
  </si>
  <si>
    <t xml:space="preserve">Anzahl in Wowhead-Route</t>
  </si>
  <si>
    <t xml:space="preserve">Reagenz 1</t>
  </si>
  <si>
    <t xml:space="preserve">Reagenz 2</t>
  </si>
  <si>
    <t xml:space="preserve">Reagenz 3</t>
  </si>
  <si>
    <t xml:space="preserve">Reagenz 4</t>
  </si>
  <si>
    <t xml:space="preserve">Reagenz 5</t>
  </si>
  <si>
    <t xml:space="preserve">Reagenz 6</t>
  </si>
  <si>
    <t xml:space="preserve">Preise fehlen</t>
  </si>
  <si>
    <t xml:space="preserve">Reagenzien laut</t>
  </si>
  <si>
    <t xml:space="preserve">Item-Seite</t>
  </si>
  <si>
    <t xml:space="preserve">Embossed Leather Gloves</t>
  </si>
  <si>
    <t xml:space="preserve">Wowhead-Route</t>
  </si>
  <si>
    <t xml:space="preserve">https://www.wowhead.com/forever/item=4239/embossed-leather-gloves</t>
  </si>
  <si>
    <t xml:space="preserve">Fine Leather Belt</t>
  </si>
  <si>
    <t xml:space="preserve">Wowhead-Route; alle 15 gehen in Dark Leather Belt</t>
  </si>
  <si>
    <t xml:space="preserve">https://www.wowhead.com/forever/item=4246/fine-leather-belt</t>
  </si>
  <si>
    <t xml:space="preserve">Light Leather Pants</t>
  </si>
  <si>
    <t xml:space="preserve">AHledger (Forever); nicht in Wowhead-Route</t>
  </si>
  <si>
    <t xml:space="preserve">https://www.wowhead.com/forever/item=7282/light-leather-pants</t>
  </si>
  <si>
    <t xml:space="preserve">Dark Leather Boots</t>
  </si>
  <si>
    <t xml:space="preserve">https://www.wowhead.com/forever/item=2315/dark-leather-boots</t>
  </si>
  <si>
    <t xml:space="preserve">Dark Leather Belt</t>
  </si>
  <si>
    <t xml:space="preserve">Wowhead-Route (Fine Leather Belt + Cured Medium Hide aufgelöst)</t>
  </si>
  <si>
    <t xml:space="preserve">https://www.wowhead.com/forever/item=4249/dark-leather-belt</t>
  </si>
  <si>
    <t xml:space="preserve">Hillman's Leather Gloves</t>
  </si>
  <si>
    <t xml:space="preserve">https://www.wowhead.com/forever/item=4247/hillmans-leather-gloves</t>
  </si>
  <si>
    <t xml:space="preserve">Barbaric Shoulders</t>
  </si>
  <si>
    <t xml:space="preserve">Wowhead-Route (Cured Heavy Hide aufgelöst)</t>
  </si>
  <si>
    <t xml:space="preserve">https://www.wowhead.com/forever/item=5964/barbaric-shoulders</t>
  </si>
  <si>
    <t xml:space="preserve">Guardian Gloves</t>
  </si>
  <si>
    <t xml:space="preserve">https://ahledger.com/items/5966-guardian-gloves</t>
  </si>
  <si>
    <t xml:space="preserve">Nightscape Headband</t>
  </si>
  <si>
    <t xml:space="preserve">https://www.wowhead.com/forever/item=8176/nightscape-headband</t>
  </si>
  <si>
    <t xml:space="preserve">Nightscape Pants</t>
  </si>
  <si>
    <t xml:space="preserve">https://ahledger.com/items/8193-nightscape-pants</t>
  </si>
  <si>
    <t xml:space="preserve">Wicked Leather Gauntlets</t>
  </si>
  <si>
    <t xml:space="preserve">https://www.wowhead.com/forever/item=15083/wicked-leather-gauntlets</t>
  </si>
  <si>
    <t xml:space="preserve">Wicked Leather Headband</t>
  </si>
  <si>
    <t xml:space="preserve">https://ahledger.com/items/15086-wicked-leather-headband</t>
  </si>
  <si>
    <t xml:space="preserve">Ohne Wert: Reagenzien oder Entzauberungsmaterial ohne Preis zählen als 0, Spalte «Preise fehlen» zeigt wie viele.</t>
  </si>
  <si>
    <t xml:space="preserve">Material (Entzaubern)</t>
  </si>
  <si>
    <t xml:space="preserve">Bedarf VZ 1-300</t>
  </si>
  <si>
    <t xml:space="preserve">Ertrag aus LW-Route</t>
  </si>
  <si>
    <t xml:space="preserve">Deckung</t>
  </si>
  <si>
    <t xml:space="preserve">Fehlmenge</t>
  </si>
  <si>
    <t xml:space="preserve">Überschuss</t>
  </si>
  <si>
    <t xml:space="preserve">Wert genutzter Eigenertrag (Gold)</t>
  </si>
  <si>
    <t xml:space="preserve">Kosten Fehlmenge (Gold)</t>
  </si>
  <si>
    <t xml:space="preserve">Wert Überschuss (Gold)</t>
  </si>
  <si>
    <t xml:space="preserve">Summe</t>
  </si>
  <si>
    <t xml:space="preserve">Fehlmengen ohne Preis (z.B. Large Brilliant Shard im Markt NH) fehlen in der Summe; siehe Spalte Rechenpreis.</t>
  </si>
  <si>
    <t xml:space="preserve">Was sich verkaufen lässt: Margen pro Herstellung laut AHledger (Forever-Beta, nach 5 % AH-Gebühr), Werte in Silber</t>
  </si>
  <si>
    <t xml:space="preserve">Beta-Werte, Stand je Seite 27.09.–12.10.; mehrere Seiten widersprechen sich, siehe Hinweis. Keine Prognose für den Launch.</t>
  </si>
  <si>
    <t xml:space="preserve">Produkt</t>
  </si>
  <si>
    <t xml:space="preserve">AH-fähig</t>
  </si>
  <si>
    <t xml:space="preserve">Händlerpreis Forever (s)</t>
  </si>
  <si>
    <t xml:space="preserve">Marge NH (s)</t>
  </si>
  <si>
    <t xml:space="preserve">Rendite NH</t>
  </si>
  <si>
    <t xml:space="preserve">Marge PH (s)</t>
  </si>
  <si>
    <t xml:space="preserve">Rendite PH</t>
  </si>
  <si>
    <t xml:space="preserve">Absatz/Tag</t>
  </si>
  <si>
    <t xml:space="preserve">Lesser Magic Wand</t>
  </si>
  <si>
    <t xml:space="preserve">ja (BoE)</t>
  </si>
  <si>
    <t xml:space="preserve">~410 (PH)</t>
  </si>
  <si>
    <t xml:space="preserve">Händlerpreis seit Build 08.10. (Dev Notes)</t>
  </si>
  <si>
    <t xml:space="preserve">https://ahledger.com/wow-forever/recipes/14293-lesser-magic-wand</t>
  </si>
  <si>
    <t xml:space="preserve">Greater Magic Wand</t>
  </si>
  <si>
    <t xml:space="preserve">~460 (PH)</t>
  </si>
  <si>
    <t xml:space="preserve">https://ahledger.com/wow-forever/recipes/14807-greater-magic-wand</t>
  </si>
  <si>
    <t xml:space="preserve">Lesser Mystic Wand</t>
  </si>
  <si>
    <t xml:space="preserve">~46 (PH)</t>
  </si>
  <si>
    <t xml:space="preserve">PH: Star Wood ohne Preis</t>
  </si>
  <si>
    <t xml:space="preserve">https://ahledger.com/wow-forever/recipes/14809-lesser-mystic-wand</t>
  </si>
  <si>
    <t xml:space="preserve">Greater Mystic Wand</t>
  </si>
  <si>
    <t xml:space="preserve">~13 (PH)</t>
  </si>
  <si>
    <t xml:space="preserve">https://ahledger.com/wow-forever/recipes/14810-greater-mystic-wand</t>
  </si>
  <si>
    <t xml:space="preserve">Novice's Practice Wand</t>
  </si>
  <si>
    <t xml:space="preserve">~120 (NH)</t>
  </si>
  <si>
    <t xml:space="preserve">https://ahledger.com/wow-forever/recipes/1245321-novices-practice-wand</t>
  </si>
  <si>
    <t xml:space="preserve">Twisted Nether Wand</t>
  </si>
  <si>
    <t xml:space="preserve">kein AH-Preis; Reagenzien NH 4g 08s, PH 4g 52s</t>
  </si>
  <si>
    <t xml:space="preserve">https://ahledger.com/wow-forever/recipes/1248461-twisted-nether-wand</t>
  </si>
  <si>
    <t xml:space="preserve">Dreambough Wand</t>
  </si>
  <si>
    <t xml:space="preserve">kein AH-Preis; Reagenzien NH 6g 30s, PH 7g 72s</t>
  </si>
  <si>
    <t xml:space="preserve">https://ahledger.com/wow-forever/recipes/1248509-dreambough-wand</t>
  </si>
  <si>
    <t xml:space="preserve">Lesser Eternal Wand</t>
  </si>
  <si>
    <t xml:space="preserve">kein AH-Preis; Reagenzien NH 3g 48s, PH 1g 74s</t>
  </si>
  <si>
    <t xml:space="preserve">https://ahledger.com/wow-forever/recipes/1248505-lesser-eternal-wand</t>
  </si>
  <si>
    <t xml:space="preserve">Greater Eternal Wand</t>
  </si>
  <si>
    <t xml:space="preserve">kein AH-Preis; Reagenzien ohne Preis</t>
  </si>
  <si>
    <t xml:space="preserve">https://ahledger.com/wow-forever/recipes/1248515-greater-eternal-wand</t>
  </si>
  <si>
    <t xml:space="preserve">Brilliant Wand</t>
  </si>
  <si>
    <t xml:space="preserve">nein (BoP)</t>
  </si>
  <si>
    <t xml:space="preserve">nicht verkaufbar; Formel 180 Merchant's Favor</t>
  </si>
  <si>
    <t xml:space="preserve">https://www.wowhead.com/forever/item=249385/brilliant-wand</t>
  </si>
  <si>
    <t xml:space="preserve">Minor Wizard Oil</t>
  </si>
  <si>
    <t xml:space="preserve">ja</t>
  </si>
  <si>
    <t xml:space="preserve">~220 (PH)</t>
  </si>
  <si>
    <t xml:space="preserve">Crafting-Seite zeigt für PH −2s 86c (Widerspruch)</t>
  </si>
  <si>
    <t xml:space="preserve">https://ahledger.com/wow-forever/recipes/25124-minor-wizard-oil</t>
  </si>
  <si>
    <t xml:space="preserve">Minor Mana Oil</t>
  </si>
  <si>
    <t xml:space="preserve">~190–200 (PH)</t>
  </si>
  <si>
    <t xml:space="preserve">Crafting-Seite zeigt für PH −7s 84c (Widerspruch); Händlerpreis laut metaforge</t>
  </si>
  <si>
    <t xml:space="preserve">https://ahledger.com/wow-forever/recipes/25125-minor-mana-oil</t>
  </si>
  <si>
    <t xml:space="preserve">Lesser Wizard Oil</t>
  </si>
  <si>
    <t xml:space="preserve">~120 (PH)</t>
  </si>
  <si>
    <t xml:space="preserve">https://ahledger.com/wow-forever/recipes/25126-lesser-wizard-oil</t>
  </si>
  <si>
    <t xml:space="preserve">Lesser Mana Oil</t>
  </si>
  <si>
    <t xml:space="preserve">kein AH-Preis; Reagenzien NH 1g 84s, PH 2g 08s</t>
  </si>
  <si>
    <t xml:space="preserve">https://ahledger.com/wow-forever/recipes/25127-lesser-mana-oil</t>
  </si>
  <si>
    <t xml:space="preserve">Wizard Oil</t>
  </si>
  <si>
    <t xml:space="preserve">kein AH-Preis; Reagenzien NH 34g 05s (Illusion Dust dünn)</t>
  </si>
  <si>
    <t xml:space="preserve">https://ahledger.com/wow-forever/recipes/25128-wizard-oil</t>
  </si>
  <si>
    <t xml:space="preserve">Brilliant Wizard Oil</t>
  </si>
  <si>
    <t xml:space="preserve">kein AH-Preis; Formel BoP über Zandalar Tribe (Classic-Daten)</t>
  </si>
  <si>
    <t xml:space="preserve">https://ahledger.com/wow-forever/recipes/25129-brilliant-wizard-oil</t>
  </si>
  <si>
    <t xml:space="preserve">Brilliant Mana Oil</t>
  </si>
  <si>
    <t xml:space="preserve">kein AH-Preis; Formel BoP, Zandalar Tribe Friendly (metaforge)</t>
  </si>
  <si>
    <t xml:space="preserve">https://ahledger.com/wow-forever/recipes/25130-brilliant-mana-oil</t>
  </si>
  <si>
    <t xml:space="preserve">Enchanted Lute</t>
  </si>
  <si>
    <t xml:space="preserve">ja; platzieren nur mit VZ-Fertigkeit</t>
  </si>
  <si>
    <t xml:space="preserve">~15 (PH)</t>
  </si>
  <si>
    <t xml:space="preserve">Crafting-Seite zeigt für PH −27c (Widerspruch)</t>
  </si>
  <si>
    <t xml:space="preserve">https://ahledger.com/wow-forever/recipes/1230643-enchanted-lute</t>
  </si>
  <si>
    <t xml:space="preserve">Arcane Salvager</t>
  </si>
  <si>
    <t xml:space="preserve">ja; platzieren erst ab VZ 140</t>
  </si>
  <si>
    <t xml:space="preserve">~8 (PH)</t>
  </si>
  <si>
    <t xml:space="preserve">«effizienter entzaubern» ohne Zahl; Spielertest: kein Effekt</t>
  </si>
  <si>
    <t xml:space="preserve">https://ahledger.com/wow-forever/recipes/1263056-arcane-salvager</t>
  </si>
  <si>
    <t xml:space="preserve">Runed Copper/Silver/Golden/Truesilver/Arcanite Rod</t>
  </si>
  <si>
    <t xml:space="preserve">nicht verkaufbar</t>
  </si>
  <si>
    <t xml:space="preserve">https://www.wowhead.com/forever/item=6218/runed-copper-rod</t>
  </si>
  <si>
    <t xml:space="preserve">Glimmering Staff, Soulstaff, Orb of Mystic Insight, Radiant Staff</t>
  </si>
  <si>
    <t xml:space="preserve">https://www.wowhead.com/forever/item=249392/glimmering-staff</t>
  </si>
  <si>
    <t xml:space="preserve">Verzauberung als Auftrag</t>
  </si>
  <si>
    <t xml:space="preserve">nur Handelsfenster</t>
  </si>
  <si>
    <t xml:space="preserve">kein Preis gefunden; kein Vellum in Forever (Spieleraussagen, Stand 08.10.)</t>
  </si>
  <si>
    <t xml:space="preserve">https://us.forums.blizzard.com/en/wow/t/wow-forever-enchanting-vellums-are-needed-%E2%80%94-the-current-system-isnt-working/2375983</t>
  </si>
  <si>
    <t xml:space="preserve">Mystic Medium Armor Kit</t>
  </si>
  <si>
    <t xml:space="preserve">~60 (NH)</t>
  </si>
  <si>
    <t xml:space="preserve">https://ahledger.com/wow-forever/recipes/1255124-mystic-medium-armor-kit</t>
  </si>
  <si>
    <t xml:space="preserve">Medium Armor Kit</t>
  </si>
  <si>
    <t xml:space="preserve">~190 (NH), ~250 (PH)</t>
  </si>
  <si>
    <t xml:space="preserve">https://ahledger.com/wow-forever/recipes/2165-medium-armor-kit</t>
  </si>
  <si>
    <t xml:space="preserve">Forceful Heavy Armor Kit</t>
  </si>
  <si>
    <t xml:space="preserve">https://ahledger.com/wow-forever/recipes/1255095-forceful-heavy-armor-kit</t>
  </si>
  <si>
    <t xml:space="preserve">Forceful Medium Armor Kit</t>
  </si>
  <si>
    <t xml:space="preserve">~130 (Normal Alliance)</t>
  </si>
  <si>
    <t xml:space="preserve">https://ahledger.com/wow-forever/recipes/1255123-forceful-medium-armor-kit</t>
  </si>
  <si>
    <t xml:space="preserve">Mystic Heavy Armor Kit</t>
  </si>
  <si>
    <t xml:space="preserve">https://ahledger.com/wow-forever/recipes/1255096-mystic-heavy-armor-kit</t>
  </si>
  <si>
    <t xml:space="preserve">Light Armor Kit</t>
  </si>
  <si>
    <t xml:space="preserve">~1'300 (NH)</t>
  </si>
  <si>
    <t xml:space="preserve">https://ahledger.com/wow-forever/recipes/2152-light-armor-kit</t>
  </si>
  <si>
    <t xml:space="preserve">Heavy Armor Kit</t>
  </si>
  <si>
    <t xml:space="preserve">~350 (PH)</t>
  </si>
  <si>
    <t xml:space="preserve">https://ahledger.com/wow-forever/recipes/3780-heavy-armor-kit</t>
  </si>
  <si>
    <t xml:space="preserve">Thick Armor Kit</t>
  </si>
  <si>
    <t xml:space="preserve">~76 (PH)</t>
  </si>
  <si>
    <t xml:space="preserve">Crafting-Seite zeigt für PH +94s 79c</t>
  </si>
  <si>
    <t xml:space="preserve">https://ahledger.com/wow-forever/recipes/10487-thick-armor-kit</t>
  </si>
  <si>
    <t xml:space="preserve">Cured Light Hide</t>
  </si>
  <si>
    <t xml:space="preserve">https://ahledger.com/wow-forever/recipes/3816-cured-light-hide</t>
  </si>
  <si>
    <t xml:space="preserve">Cured Medium Hide</t>
  </si>
  <si>
    <t xml:space="preserve">~340 (PH)</t>
  </si>
  <si>
    <t xml:space="preserve">https://ahledger.com/wow-forever/recipes/3817-cured-medium-hide</t>
  </si>
  <si>
    <t xml:space="preserve">Cured Heavy Hide</t>
  </si>
  <si>
    <t xml:space="preserve">~490 (PvP Alliance)</t>
  </si>
  <si>
    <t xml:space="preserve">https://ahledger.com/wow-forever/recipes/3818-cured-heavy-hide</t>
  </si>
  <si>
    <t xml:space="preserve">~1'700 (NH)</t>
  </si>
  <si>
    <t xml:space="preserve">https://ahledger.com/wow-forever/recipes/20649-heavy-leather</t>
  </si>
  <si>
    <t xml:space="preserve">~1'300 (PH)</t>
  </si>
  <si>
    <t xml:space="preserve">https://ahledger.com/wow-forever/recipes/20650-thick-leather</t>
  </si>
  <si>
    <t xml:space="preserve">Light Leather Reagent Bag</t>
  </si>
  <si>
    <t xml:space="preserve">~66 (PH)</t>
  </si>
  <si>
    <t xml:space="preserve">PH-Wert beruht auf einer 1g-Listung; Itemseite PH-Median 15s</t>
  </si>
  <si>
    <t xml:space="preserve">https://ahledger.com/wow-forever/recipes/1302604-light-leather-reagent-bag</t>
  </si>
  <si>
    <t xml:space="preserve">Kodo Hide Bag</t>
  </si>
  <si>
    <t xml:space="preserve">~71 (NH)</t>
  </si>
  <si>
    <t xml:space="preserve">https://ahledger.com/wow-forever/recipes/5244-kodo-hide-bag</t>
  </si>
  <si>
    <t xml:space="preserve">Heavy Quiver</t>
  </si>
  <si>
    <t xml:space="preserve">~47 (PH)</t>
  </si>
  <si>
    <t xml:space="preserve">https://ahledger.com/wow-forever/recipes/9193-heavy-quiver</t>
  </si>
  <si>
    <t xml:space="preserve">Barbaric Bracers</t>
  </si>
  <si>
    <t xml:space="preserve">~68 (PH)</t>
  </si>
  <si>
    <t xml:space="preserve">Musterquelle nicht geprüft</t>
  </si>
  <si>
    <t xml:space="preserve">https://ahledger.com/wow-forever/recipes/23399-barbaric-bracers</t>
  </si>
  <si>
    <t xml:space="preserve">Red Whelp Gloves</t>
  </si>
  <si>
    <t xml:space="preserve">~5 (NH)</t>
  </si>
  <si>
    <t xml:space="preserve">NH-Wert beruht auf einer 10g-Listung; Musterquelle nicht geprüft</t>
  </si>
  <si>
    <t xml:space="preserve">https://ahledger.com/wow-forever/recipes/9072-red-whelp-gloves</t>
  </si>
  <si>
    <t xml:space="preserve">Green Whelp Armor</t>
  </si>
  <si>
    <t xml:space="preserve">~1 (NH), ~15 (PH)</t>
  </si>
  <si>
    <t xml:space="preserve">https://ahledger.com/wow-forever/recipes/9197-green-whelp-armor</t>
  </si>
  <si>
    <t xml:space="preserve">Herbalist's Gloves</t>
  </si>
  <si>
    <t xml:space="preserve">nur Crafting-Seite PH; Musterquelle nicht geprüft</t>
  </si>
  <si>
    <t xml:space="preserve">https://ahledger.com/crafting?market=forever/pvp/horde/us</t>
  </si>
  <si>
    <t xml:space="preserve">Dusky Belt</t>
  </si>
  <si>
    <t xml:space="preserve">~10 (PH)</t>
  </si>
  <si>
    <t xml:space="preserve">Azure Gustwoven Spaulders</t>
  </si>
  <si>
    <t xml:space="preserve">~2 (PH)</t>
  </si>
  <si>
    <t xml:space="preserve">Green Leather Armor</t>
  </si>
  <si>
    <t xml:space="preserve">~5 (PH)</t>
  </si>
  <si>
    <t xml:space="preserve">White Leather Jerkin</t>
  </si>
  <si>
    <t xml:space="preserve">~21 (PH)</t>
  </si>
  <si>
    <t xml:space="preserve">PH-Wert beruht auf einer 1g-Listung</t>
  </si>
  <si>
    <t xml:space="preserve">https://ahledger.com/wow-forever/recipes/2163-white-leather-jerkin</t>
  </si>
  <si>
    <t xml:space="preserve">Quellen</t>
  </si>
  <si>
    <t xml:space="preserve">Wofür</t>
  </si>
  <si>
    <t xml:space="preserve">Link</t>
  </si>
  <si>
    <t xml:space="preserve">Mengen: Wowhead, Leatherworking Leveling 1-300 (WoW Classic), Stand 02.08.2026, Patch 1.15.8</t>
  </si>
  <si>
    <t xml:space="preserve">https://www.wowhead.com/classic/guide/leatherworking-leveling-1-300-wow-classic</t>
  </si>
  <si>
    <t xml:space="preserve">Mengen: Wowhead, Enchanting Leveling 1-300 (WoW Classic), Stand 30.09.2025</t>
  </si>
  <si>
    <t xml:space="preserve">https://www.wowhead.com/classic/guide/enchanting-leveling-1-300-wow-classic</t>
  </si>
  <si>
    <t xml:space="preserve">Preise und Margen: AHledger (Forever-Beta, Spieler-Scans), Startseite</t>
  </si>
  <si>
    <t xml:space="preserve">https://ahledger.com/</t>
  </si>
  <si>
    <t xml:space="preserve">AHledger Markt Normal Horde US</t>
  </si>
  <si>
    <t xml:space="preserve">https://ahledger.com/markets/forever/normal/horde/us</t>
  </si>
  <si>
    <t xml:space="preserve">AHledger Markt PvP Horde US</t>
  </si>
  <si>
    <t xml:space="preserve">https://ahledger.com/markets/forever/pvp/horde/us</t>
  </si>
  <si>
    <t xml:space="preserve">AHledger Crafting PvP Horde US</t>
  </si>
  <si>
    <t xml:space="preserve">AHledger Verzauberungen (Materialkosten, nur PvP Alliance)</t>
  </si>
  <si>
    <t xml:space="preserve">https://ahledger.com/wow-forever/enchants</t>
  </si>
  <si>
    <t xml:space="preserve">Entzauberungstabelle Forever: wow-professions</t>
  </si>
  <si>
    <t xml:space="preserve">https://www.wow-professions.com/forever/disenchanting-guide</t>
  </si>
  <si>
    <t xml:space="preserve">Forever-Routen zum Vergleich: wow-professions Lederverarbeitung</t>
  </si>
  <si>
    <t xml:space="preserve">https://www.wow-professions.com/forever/leatherworking-leveling-guide</t>
  </si>
  <si>
    <t xml:space="preserve">Forever-Routen zum Vergleich: wow-professions Verzauberkunst</t>
  </si>
  <si>
    <t xml:space="preserve">Lehrer Verzauberkunst Forever (Annora, Uldaman)</t>
  </si>
  <si>
    <t xml:space="preserve">https://www.wow-professions.com/forever/enchanting-trainers</t>
  </si>
  <si>
    <t xml:space="preserve">Lehrer-Stufen Forever: Icy Veins Verzauberkunst</t>
  </si>
  <si>
    <t xml:space="preserve">https://www.icy-veins.com/wow-forever/enchanting</t>
  </si>
  <si>
    <t xml:space="preserve">Beta-Stufenlimit 30 ab 01.10.: Warcraft Tavern</t>
  </si>
  <si>
    <t xml:space="preserve">https://www.warcrafttavern.com/forever/guides/beta/</t>
  </si>
  <si>
    <t xml:space="preserve">Händlerpreise Zauberstäbe: Blizzard Dev Notes 01.10.</t>
  </si>
  <si>
    <t xml:space="preserve">https://us.forums.blizzard.com/en/wow/t/wow-forever-beta-development-notes-%E2%80%93-updated-october-8/2360696/4</t>
  </si>
  <si>
    <t xml:space="preserve">Händlerpreise Zauberstäbe: Blizzard Dev Notes 08.10.</t>
  </si>
  <si>
    <t xml:space="preserve">https://us.forums.blizzard.com/en/wow/t/wow-forever-beta-development-notes-%E2%80%93-updated-october-8/2360696/5</t>
  </si>
  <si>
    <t xml:space="preserve">Kein Vellum: Forum «Enchanting Vellums Are Needed», 08.10.</t>
  </si>
  <si>
    <t xml:space="preserve">Kein Vellum: Forum «Can we have enchanting vellum?», 20.09.</t>
  </si>
  <si>
    <t xml:space="preserve">https://us.forums.blizzard.com/en/wow/t/can-we-have-enchanting-vellum/2355783</t>
  </si>
  <si>
    <t xml:space="preserve">Zauberstäbe im AH zum Händlerpreis: Forum «Enchanting Nerf», 02.10.</t>
  </si>
  <si>
    <t xml:space="preserve">https://us.forums.blizzard.com/en/wow/t/enchanting-nerf/2369090</t>
  </si>
  <si>
    <t xml:space="preserve">Arcane Salvager (Item, Kommentare mit Spielertest)</t>
  </si>
  <si>
    <t xml:space="preserve">https://www.wowhead.com/forever/item=279985/arcane-salvager</t>
  </si>
  <si>
    <t xml:space="preserve">Camp-Items handelbar, Platzieren braucht Fertigkeit: Wowhead Camping-Guide</t>
  </si>
  <si>
    <t xml:space="preserve">https://www.wowhead.com/forever/guide/camping-overview-unlock-rewards</t>
  </si>
  <si>
    <t xml:space="preserve">Garn-Händlerpreise: warcraft.wiki.gg</t>
  </si>
  <si>
    <t xml:space="preserve">https://warcraft.wiki.gg/wiki/Thread</t>
  </si>
  <si>
    <t xml:space="preserve">Einzelne Preis-, Rezept- und Item-Seiten stehen in den Blättern Preise, Kreislauf und Produkte jeweils in der Spalte Quelle.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</si>
</sst>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#,##0.00;[RED]\-#,##0.00;\-"/>
    <numFmt numFmtId="167" formatCode="#,##0"/>
    <numFmt numFmtId="168" formatCode="0%"/>
    <numFmt numFmtId="169" formatCode="#,##0.00"/>
    <numFmt numFmtId="170" formatCode="0%;[RED]\-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name val="Arial"/>
      <family val="0"/>
      <charset val="1"/>
    </font>
    <font>
      <u val="single"/>
      <sz val="9"/>
      <color rgb="FF0563C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F2F2F2"/>
      </patternFill>
    </fill>
    <fill>
      <patternFill patternType="solid">
        <fgColor rgb="FFF2F2F2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ahledger.com/items/2934-ruined-leather-scraps" TargetMode="External"/><Relationship Id="rId2" Type="http://schemas.openxmlformats.org/officeDocument/2006/relationships/hyperlink" Target="https://ahledger.com/items/2318-light-leather" TargetMode="External"/><Relationship Id="rId3" Type="http://schemas.openxmlformats.org/officeDocument/2006/relationships/hyperlink" Target="https://ahledger.com/items/2319-medium-leather" TargetMode="External"/><Relationship Id="rId4" Type="http://schemas.openxmlformats.org/officeDocument/2006/relationships/hyperlink" Target="https://ahledger.com/items/4234-heavy-leather" TargetMode="External"/><Relationship Id="rId5" Type="http://schemas.openxmlformats.org/officeDocument/2006/relationships/hyperlink" Target="https://ahledger.com/items/4304-thick-leather" TargetMode="External"/><Relationship Id="rId6" Type="http://schemas.openxmlformats.org/officeDocument/2006/relationships/hyperlink" Target="https://ahledger.com/items/8170-rugged-leather" TargetMode="External"/><Relationship Id="rId7" Type="http://schemas.openxmlformats.org/officeDocument/2006/relationships/hyperlink" Target="https://ahledger.com/items/783-light-hide" TargetMode="External"/><Relationship Id="rId8" Type="http://schemas.openxmlformats.org/officeDocument/2006/relationships/hyperlink" Target="https://ahledger.com/items/4232-medium-hide" TargetMode="External"/><Relationship Id="rId9" Type="http://schemas.openxmlformats.org/officeDocument/2006/relationships/hyperlink" Target="https://ahledger.com/items/4235-heavy-hide" TargetMode="External"/><Relationship Id="rId10" Type="http://schemas.openxmlformats.org/officeDocument/2006/relationships/hyperlink" Target="https://ahledger.com/items/4289-salt" TargetMode="External"/><Relationship Id="rId11" Type="http://schemas.openxmlformats.org/officeDocument/2006/relationships/hyperlink" Target="https://ahledger.com/items/2320-coarse-thread" TargetMode="External"/><Relationship Id="rId12" Type="http://schemas.openxmlformats.org/officeDocument/2006/relationships/hyperlink" Target="https://ahledger.com/items/2321-fine-thread" TargetMode="External"/><Relationship Id="rId13" Type="http://schemas.openxmlformats.org/officeDocument/2006/relationships/hyperlink" Target="https://ahledger.com/items/4291-silken-thread" TargetMode="External"/><Relationship Id="rId14" Type="http://schemas.openxmlformats.org/officeDocument/2006/relationships/hyperlink" Target="https://ahledger.com/items/14341-rune-thread" TargetMode="External"/><Relationship Id="rId15" Type="http://schemas.openxmlformats.org/officeDocument/2006/relationships/hyperlink" Target="https://ahledger.com/items/4340-gray-dye" TargetMode="External"/><Relationship Id="rId16" Type="http://schemas.openxmlformats.org/officeDocument/2006/relationships/hyperlink" Target="https://ahledger.com/items/2325-black-dye" TargetMode="External"/><Relationship Id="rId17" Type="http://schemas.openxmlformats.org/officeDocument/2006/relationships/hyperlink" Target="https://ahledger.com/items/10940-strange-dust" TargetMode="External"/><Relationship Id="rId18" Type="http://schemas.openxmlformats.org/officeDocument/2006/relationships/hyperlink" Target="https://ahledger.com/items/11083-soul-dust" TargetMode="External"/><Relationship Id="rId19" Type="http://schemas.openxmlformats.org/officeDocument/2006/relationships/hyperlink" Target="https://ahledger.com/items/11137-vision-dust" TargetMode="External"/><Relationship Id="rId20" Type="http://schemas.openxmlformats.org/officeDocument/2006/relationships/hyperlink" Target="https://ahledger.com/items/11176-dream-dust" TargetMode="External"/><Relationship Id="rId21" Type="http://schemas.openxmlformats.org/officeDocument/2006/relationships/hyperlink" Target="https://ahledger.com/items/16204-illusion-dust" TargetMode="External"/><Relationship Id="rId22" Type="http://schemas.openxmlformats.org/officeDocument/2006/relationships/hyperlink" Target="https://ahledger.com/items/10938-lesser-magic-essence" TargetMode="External"/><Relationship Id="rId23" Type="http://schemas.openxmlformats.org/officeDocument/2006/relationships/hyperlink" Target="https://ahledger.com/items/10939-greater-magic-essence" TargetMode="External"/><Relationship Id="rId24" Type="http://schemas.openxmlformats.org/officeDocument/2006/relationships/hyperlink" Target="https://ahledger.com/items/10998-lesser-astral-essence" TargetMode="External"/><Relationship Id="rId25" Type="http://schemas.openxmlformats.org/officeDocument/2006/relationships/hyperlink" Target="https://ahledger.com/items/11082-greater-astral-essence" TargetMode="External"/><Relationship Id="rId26" Type="http://schemas.openxmlformats.org/officeDocument/2006/relationships/hyperlink" Target="https://ahledger.com/items/11134-lesser-mystic-essence" TargetMode="External"/><Relationship Id="rId27" Type="http://schemas.openxmlformats.org/officeDocument/2006/relationships/hyperlink" Target="https://ahledger.com/items/11135-greater-mystic-essence" TargetMode="External"/><Relationship Id="rId28" Type="http://schemas.openxmlformats.org/officeDocument/2006/relationships/hyperlink" Target="https://ahledger.com/items/11174-lesser-nether-essence" TargetMode="External"/><Relationship Id="rId29" Type="http://schemas.openxmlformats.org/officeDocument/2006/relationships/hyperlink" Target="https://ahledger.com/items/11175-greater-nether-essence" TargetMode="External"/><Relationship Id="rId30" Type="http://schemas.openxmlformats.org/officeDocument/2006/relationships/hyperlink" Target="https://ahledger.com/items/16202-lesser-eternal-essence" TargetMode="External"/><Relationship Id="rId31" Type="http://schemas.openxmlformats.org/officeDocument/2006/relationships/hyperlink" Target="https://ahledger.com/items/16203-greater-eternal-essence" TargetMode="External"/><Relationship Id="rId32" Type="http://schemas.openxmlformats.org/officeDocument/2006/relationships/hyperlink" Target="https://ahledger.com/items/10978-small-glimmering-shard" TargetMode="External"/><Relationship Id="rId33" Type="http://schemas.openxmlformats.org/officeDocument/2006/relationships/hyperlink" Target="https://ahledger.com/items/11084-large-glimmering-shard" TargetMode="External"/><Relationship Id="rId34" Type="http://schemas.openxmlformats.org/officeDocument/2006/relationships/hyperlink" Target="https://ahledger.com/items/11138-small-glowing-shard" TargetMode="External"/><Relationship Id="rId35" Type="http://schemas.openxmlformats.org/officeDocument/2006/relationships/hyperlink" Target="https://ahledger.com/items/11139-large-glowing-shard" TargetMode="External"/><Relationship Id="rId36" Type="http://schemas.openxmlformats.org/officeDocument/2006/relationships/hyperlink" Target="https://ahledger.com/items/11177-small-radiant-shard" TargetMode="External"/><Relationship Id="rId37" Type="http://schemas.openxmlformats.org/officeDocument/2006/relationships/hyperlink" Target="https://ahledger.com/items/11178-large-radiant-shard" TargetMode="External"/><Relationship Id="rId38" Type="http://schemas.openxmlformats.org/officeDocument/2006/relationships/hyperlink" Target="https://ahledger.com/items/14343-small-brilliant-shard" TargetMode="External"/><Relationship Id="rId39" Type="http://schemas.openxmlformats.org/officeDocument/2006/relationships/hyperlink" Target="https://ahledger.com/items/14344-large-brilliant-shard" TargetMode="External"/><Relationship Id="rId40" Type="http://schemas.openxmlformats.org/officeDocument/2006/relationships/hyperlink" Target="https://www.wow-professions.com/forever/enchanting-leveling-guide" TargetMode="External"/><Relationship Id="rId41" Type="http://schemas.openxmlformats.org/officeDocument/2006/relationships/hyperlink" Target="https://ahledger.com/items/6338-silver-rod" TargetMode="External"/><Relationship Id="rId42" Type="http://schemas.openxmlformats.org/officeDocument/2006/relationships/hyperlink" Target="https://ahledger.com/items/11128-golden-rod" TargetMode="External"/><Relationship Id="rId43" Type="http://schemas.openxmlformats.org/officeDocument/2006/relationships/hyperlink" Target="https://ahledger.com/items/11144-truesilver-rod" TargetMode="External"/><Relationship Id="rId44" Type="http://schemas.openxmlformats.org/officeDocument/2006/relationships/hyperlink" Target="https://ahledger.com/items/16206-arcanite-rod" TargetMode="External"/><Relationship Id="rId45" Type="http://schemas.openxmlformats.org/officeDocument/2006/relationships/hyperlink" Target="https://ahledger.com/items/5500-iridescent-pearl" TargetMode="External"/><Relationship Id="rId46" Type="http://schemas.openxmlformats.org/officeDocument/2006/relationships/hyperlink" Target="https://ahledger.com/items/7971-black-pearl" TargetMode="External"/><Relationship Id="rId47" Type="http://schemas.openxmlformats.org/officeDocument/2006/relationships/hyperlink" Target="https://ahledger.com/items/13926-golden-pearl" TargetMode="External"/><Relationship Id="rId48" Type="http://schemas.openxmlformats.org/officeDocument/2006/relationships/hyperlink" Target="https://ahledger.com/items/1210-shadowgem" TargetMode="External"/><Relationship Id="rId49" Type="http://schemas.openxmlformats.org/officeDocument/2006/relationships/hyperlink" Target="https://ahledger.com/items/4470-simple-wood" TargetMode="External"/><Relationship Id="rId50" Type="http://schemas.openxmlformats.org/officeDocument/2006/relationships/hyperlink" Target="https://ahledger.com/items/8831-purple-lotus" TargetMode="External"/><Relationship Id="rId51" Type="http://schemas.openxmlformats.org/officeDocument/2006/relationships/hyperlink" Target="https://ahledger.com/items/8925-crystal-vial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wowhead.com/forever/item=4239/embossed-leather-gloves" TargetMode="External"/><Relationship Id="rId2" Type="http://schemas.openxmlformats.org/officeDocument/2006/relationships/hyperlink" Target="https://www.wowhead.com/forever/item=4246/fine-leather-belt" TargetMode="External"/><Relationship Id="rId3" Type="http://schemas.openxmlformats.org/officeDocument/2006/relationships/hyperlink" Target="https://www.wowhead.com/forever/item=7282/light-leather-pants" TargetMode="External"/><Relationship Id="rId4" Type="http://schemas.openxmlformats.org/officeDocument/2006/relationships/hyperlink" Target="https://www.wowhead.com/forever/item=2315/dark-leather-boots" TargetMode="External"/><Relationship Id="rId5" Type="http://schemas.openxmlformats.org/officeDocument/2006/relationships/hyperlink" Target="https://www.wowhead.com/forever/item=4249/dark-leather-belt" TargetMode="External"/><Relationship Id="rId6" Type="http://schemas.openxmlformats.org/officeDocument/2006/relationships/hyperlink" Target="https://www.wowhead.com/forever/item=4247/hillmans-leather-gloves" TargetMode="External"/><Relationship Id="rId7" Type="http://schemas.openxmlformats.org/officeDocument/2006/relationships/hyperlink" Target="https://www.wowhead.com/forever/item=5964/barbaric-shoulders" TargetMode="External"/><Relationship Id="rId8" Type="http://schemas.openxmlformats.org/officeDocument/2006/relationships/hyperlink" Target="https://ahledger.com/items/5966-guardian-gloves" TargetMode="External"/><Relationship Id="rId9" Type="http://schemas.openxmlformats.org/officeDocument/2006/relationships/hyperlink" Target="https://www.wowhead.com/forever/item=8176/nightscape-headband" TargetMode="External"/><Relationship Id="rId10" Type="http://schemas.openxmlformats.org/officeDocument/2006/relationships/hyperlink" Target="https://ahledger.com/items/8193-nightscape-pants" TargetMode="External"/><Relationship Id="rId11" Type="http://schemas.openxmlformats.org/officeDocument/2006/relationships/hyperlink" Target="https://www.wowhead.com/forever/item=15083/wicked-leather-gauntlets" TargetMode="External"/><Relationship Id="rId12" Type="http://schemas.openxmlformats.org/officeDocument/2006/relationships/hyperlink" Target="https://ahledger.com/items/15086-wicked-leather-headband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ahledger.com/wow-forever/recipes/14293-lesser-magic-wand" TargetMode="External"/><Relationship Id="rId2" Type="http://schemas.openxmlformats.org/officeDocument/2006/relationships/hyperlink" Target="https://ahledger.com/wow-forever/recipes/14807-greater-magic-wand" TargetMode="External"/><Relationship Id="rId3" Type="http://schemas.openxmlformats.org/officeDocument/2006/relationships/hyperlink" Target="https://ahledger.com/wow-forever/recipes/14809-lesser-mystic-wand" TargetMode="External"/><Relationship Id="rId4" Type="http://schemas.openxmlformats.org/officeDocument/2006/relationships/hyperlink" Target="https://ahledger.com/wow-forever/recipes/14810-greater-mystic-wand" TargetMode="External"/><Relationship Id="rId5" Type="http://schemas.openxmlformats.org/officeDocument/2006/relationships/hyperlink" Target="https://ahledger.com/wow-forever/recipes/1245321-novices-practice-wand" TargetMode="External"/><Relationship Id="rId6" Type="http://schemas.openxmlformats.org/officeDocument/2006/relationships/hyperlink" Target="https://ahledger.com/wow-forever/recipes/1248461-twisted-nether-wand" TargetMode="External"/><Relationship Id="rId7" Type="http://schemas.openxmlformats.org/officeDocument/2006/relationships/hyperlink" Target="https://ahledger.com/wow-forever/recipes/1248509-dreambough-wand" TargetMode="External"/><Relationship Id="rId8" Type="http://schemas.openxmlformats.org/officeDocument/2006/relationships/hyperlink" Target="https://ahledger.com/wow-forever/recipes/1248505-lesser-eternal-wand" TargetMode="External"/><Relationship Id="rId9" Type="http://schemas.openxmlformats.org/officeDocument/2006/relationships/hyperlink" Target="https://ahledger.com/wow-forever/recipes/1248515-greater-eternal-wand" TargetMode="External"/><Relationship Id="rId10" Type="http://schemas.openxmlformats.org/officeDocument/2006/relationships/hyperlink" Target="https://www.wowhead.com/forever/item=249385/brilliant-wand" TargetMode="External"/><Relationship Id="rId11" Type="http://schemas.openxmlformats.org/officeDocument/2006/relationships/hyperlink" Target="https://ahledger.com/wow-forever/recipes/25124-minor-wizard-oil" TargetMode="External"/><Relationship Id="rId12" Type="http://schemas.openxmlformats.org/officeDocument/2006/relationships/hyperlink" Target="https://ahledger.com/wow-forever/recipes/25125-minor-mana-oil" TargetMode="External"/><Relationship Id="rId13" Type="http://schemas.openxmlformats.org/officeDocument/2006/relationships/hyperlink" Target="https://ahledger.com/wow-forever/recipes/25126-lesser-wizard-oil" TargetMode="External"/><Relationship Id="rId14" Type="http://schemas.openxmlformats.org/officeDocument/2006/relationships/hyperlink" Target="https://ahledger.com/wow-forever/recipes/25127-lesser-mana-oil" TargetMode="External"/><Relationship Id="rId15" Type="http://schemas.openxmlformats.org/officeDocument/2006/relationships/hyperlink" Target="https://ahledger.com/wow-forever/recipes/25128-wizard-oil" TargetMode="External"/><Relationship Id="rId16" Type="http://schemas.openxmlformats.org/officeDocument/2006/relationships/hyperlink" Target="https://ahledger.com/wow-forever/recipes/25129-brilliant-wizard-oil" TargetMode="External"/><Relationship Id="rId17" Type="http://schemas.openxmlformats.org/officeDocument/2006/relationships/hyperlink" Target="https://ahledger.com/wow-forever/recipes/25130-brilliant-mana-oil" TargetMode="External"/><Relationship Id="rId18" Type="http://schemas.openxmlformats.org/officeDocument/2006/relationships/hyperlink" Target="https://ahledger.com/wow-forever/recipes/1230643-enchanted-lute" TargetMode="External"/><Relationship Id="rId19" Type="http://schemas.openxmlformats.org/officeDocument/2006/relationships/hyperlink" Target="https://ahledger.com/wow-forever/recipes/1263056-arcane-salvager" TargetMode="External"/><Relationship Id="rId20" Type="http://schemas.openxmlformats.org/officeDocument/2006/relationships/hyperlink" Target="https://www.wowhead.com/forever/item=6218/runed-copper-rod" TargetMode="External"/><Relationship Id="rId21" Type="http://schemas.openxmlformats.org/officeDocument/2006/relationships/hyperlink" Target="https://www.wowhead.com/forever/item=249392/glimmering-staff" TargetMode="External"/><Relationship Id="rId22" Type="http://schemas.openxmlformats.org/officeDocument/2006/relationships/hyperlink" Target="https://us.forums.blizzard.com/en/wow/t/wow-forever-enchanting-vellums-are-needed-&#8212;-the-current-system-isnt-working/2375983" TargetMode="External"/><Relationship Id="rId23" Type="http://schemas.openxmlformats.org/officeDocument/2006/relationships/hyperlink" Target="https://ahledger.com/wow-forever/recipes/1255124-mystic-medium-armor-kit" TargetMode="External"/><Relationship Id="rId24" Type="http://schemas.openxmlformats.org/officeDocument/2006/relationships/hyperlink" Target="https://ahledger.com/wow-forever/recipes/2165-medium-armor-kit" TargetMode="External"/><Relationship Id="rId25" Type="http://schemas.openxmlformats.org/officeDocument/2006/relationships/hyperlink" Target="https://ahledger.com/wow-forever/recipes/1255095-forceful-heavy-armor-kit" TargetMode="External"/><Relationship Id="rId26" Type="http://schemas.openxmlformats.org/officeDocument/2006/relationships/hyperlink" Target="https://ahledger.com/wow-forever/recipes/1255123-forceful-medium-armor-kit" TargetMode="External"/><Relationship Id="rId27" Type="http://schemas.openxmlformats.org/officeDocument/2006/relationships/hyperlink" Target="https://ahledger.com/wow-forever/recipes/1255096-mystic-heavy-armor-kit" TargetMode="External"/><Relationship Id="rId28" Type="http://schemas.openxmlformats.org/officeDocument/2006/relationships/hyperlink" Target="https://ahledger.com/wow-forever/recipes/2152-light-armor-kit" TargetMode="External"/><Relationship Id="rId29" Type="http://schemas.openxmlformats.org/officeDocument/2006/relationships/hyperlink" Target="https://ahledger.com/wow-forever/recipes/3780-heavy-armor-kit" TargetMode="External"/><Relationship Id="rId30" Type="http://schemas.openxmlformats.org/officeDocument/2006/relationships/hyperlink" Target="https://ahledger.com/wow-forever/recipes/10487-thick-armor-kit" TargetMode="External"/><Relationship Id="rId31" Type="http://schemas.openxmlformats.org/officeDocument/2006/relationships/hyperlink" Target="https://ahledger.com/wow-forever/recipes/3816-cured-light-hide" TargetMode="External"/><Relationship Id="rId32" Type="http://schemas.openxmlformats.org/officeDocument/2006/relationships/hyperlink" Target="https://ahledger.com/wow-forever/recipes/3817-cured-medium-hide" TargetMode="External"/><Relationship Id="rId33" Type="http://schemas.openxmlformats.org/officeDocument/2006/relationships/hyperlink" Target="https://ahledger.com/wow-forever/recipes/3818-cured-heavy-hide" TargetMode="External"/><Relationship Id="rId34" Type="http://schemas.openxmlformats.org/officeDocument/2006/relationships/hyperlink" Target="https://ahledger.com/wow-forever/recipes/20649-heavy-leather" TargetMode="External"/><Relationship Id="rId35" Type="http://schemas.openxmlformats.org/officeDocument/2006/relationships/hyperlink" Target="https://ahledger.com/wow-forever/recipes/20650-thick-leather" TargetMode="External"/><Relationship Id="rId36" Type="http://schemas.openxmlformats.org/officeDocument/2006/relationships/hyperlink" Target="https://ahledger.com/wow-forever/recipes/1302604-light-leather-reagent-bag" TargetMode="External"/><Relationship Id="rId37" Type="http://schemas.openxmlformats.org/officeDocument/2006/relationships/hyperlink" Target="https://ahledger.com/wow-forever/recipes/5244-kodo-hide-bag" TargetMode="External"/><Relationship Id="rId38" Type="http://schemas.openxmlformats.org/officeDocument/2006/relationships/hyperlink" Target="https://ahledger.com/wow-forever/recipes/9193-heavy-quiver" TargetMode="External"/><Relationship Id="rId39" Type="http://schemas.openxmlformats.org/officeDocument/2006/relationships/hyperlink" Target="https://ahledger.com/wow-forever/recipes/23399-barbaric-bracers" TargetMode="External"/><Relationship Id="rId40" Type="http://schemas.openxmlformats.org/officeDocument/2006/relationships/hyperlink" Target="https://ahledger.com/wow-forever/recipes/9072-red-whelp-gloves" TargetMode="External"/><Relationship Id="rId41" Type="http://schemas.openxmlformats.org/officeDocument/2006/relationships/hyperlink" Target="https://ahledger.com/wow-forever/recipes/9197-green-whelp-armor" TargetMode="External"/><Relationship Id="rId42" Type="http://schemas.openxmlformats.org/officeDocument/2006/relationships/hyperlink" Target="https://ahledger.com/crafting?market=forever/pvp/horde/us" TargetMode="External"/><Relationship Id="rId43" Type="http://schemas.openxmlformats.org/officeDocument/2006/relationships/hyperlink" Target="https://ahledger.com/crafting?market=forever/pvp/horde/us" TargetMode="External"/><Relationship Id="rId44" Type="http://schemas.openxmlformats.org/officeDocument/2006/relationships/hyperlink" Target="https://ahledger.com/crafting?market=forever/pvp/horde/us" TargetMode="External"/><Relationship Id="rId45" Type="http://schemas.openxmlformats.org/officeDocument/2006/relationships/hyperlink" Target="https://ahledger.com/crafting?market=forever/pvp/horde/us" TargetMode="External"/><Relationship Id="rId46" Type="http://schemas.openxmlformats.org/officeDocument/2006/relationships/hyperlink" Target="https://ahledger.com/wow-forever/recipes/2163-white-leather-jerkin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www.wowhead.com/classic/guide/leatherworking-leveling-1-300-wow-classic" TargetMode="External"/><Relationship Id="rId2" Type="http://schemas.openxmlformats.org/officeDocument/2006/relationships/hyperlink" Target="https://www.wowhead.com/classic/guide/enchanting-leveling-1-300-wow-classic" TargetMode="External"/><Relationship Id="rId3" Type="http://schemas.openxmlformats.org/officeDocument/2006/relationships/hyperlink" Target="https://ahledger.com/" TargetMode="External"/><Relationship Id="rId4" Type="http://schemas.openxmlformats.org/officeDocument/2006/relationships/hyperlink" Target="https://ahledger.com/markets/forever/normal/horde/us" TargetMode="External"/><Relationship Id="rId5" Type="http://schemas.openxmlformats.org/officeDocument/2006/relationships/hyperlink" Target="https://ahledger.com/markets/forever/pvp/horde/us" TargetMode="External"/><Relationship Id="rId6" Type="http://schemas.openxmlformats.org/officeDocument/2006/relationships/hyperlink" Target="https://ahledger.com/crafting?market=forever/pvp/horde/us" TargetMode="External"/><Relationship Id="rId7" Type="http://schemas.openxmlformats.org/officeDocument/2006/relationships/hyperlink" Target="https://ahledger.com/wow-forever/enchants" TargetMode="External"/><Relationship Id="rId8" Type="http://schemas.openxmlformats.org/officeDocument/2006/relationships/hyperlink" Target="https://www.wow-professions.com/forever/disenchanting-guide" TargetMode="External"/><Relationship Id="rId9" Type="http://schemas.openxmlformats.org/officeDocument/2006/relationships/hyperlink" Target="https://www.wow-professions.com/forever/leatherworking-leveling-guide" TargetMode="External"/><Relationship Id="rId10" Type="http://schemas.openxmlformats.org/officeDocument/2006/relationships/hyperlink" Target="https://www.wow-professions.com/forever/enchanting-leveling-guide" TargetMode="External"/><Relationship Id="rId11" Type="http://schemas.openxmlformats.org/officeDocument/2006/relationships/hyperlink" Target="https://www.wow-professions.com/forever/enchanting-trainers" TargetMode="External"/><Relationship Id="rId12" Type="http://schemas.openxmlformats.org/officeDocument/2006/relationships/hyperlink" Target="https://www.icy-veins.com/wow-forever/enchanting" TargetMode="External"/><Relationship Id="rId13" Type="http://schemas.openxmlformats.org/officeDocument/2006/relationships/hyperlink" Target="https://www.warcrafttavern.com/forever/guides/beta/" TargetMode="External"/><Relationship Id="rId14" Type="http://schemas.openxmlformats.org/officeDocument/2006/relationships/hyperlink" Target="https://us.forums.blizzard.com/en/wow/t/wow-forever-beta-development-notes-&#8211;-updated-october-8/2360696/4" TargetMode="External"/><Relationship Id="rId15" Type="http://schemas.openxmlformats.org/officeDocument/2006/relationships/hyperlink" Target="https://us.forums.blizzard.com/en/wow/t/wow-forever-beta-development-notes-&#8211;-updated-october-8/2360696/5" TargetMode="External"/><Relationship Id="rId16" Type="http://schemas.openxmlformats.org/officeDocument/2006/relationships/hyperlink" Target="https://us.forums.blizzard.com/en/wow/t/wow-forever-enchanting-vellums-are-needed-&#8212;-the-current-system-isnt-working/2375983" TargetMode="External"/><Relationship Id="rId17" Type="http://schemas.openxmlformats.org/officeDocument/2006/relationships/hyperlink" Target="https://us.forums.blizzard.com/en/wow/t/can-we-have-enchanting-vellum/2355783" TargetMode="External"/><Relationship Id="rId18" Type="http://schemas.openxmlformats.org/officeDocument/2006/relationships/hyperlink" Target="https://us.forums.blizzard.com/en/wow/t/enchanting-nerf/2369090" TargetMode="External"/><Relationship Id="rId19" Type="http://schemas.openxmlformats.org/officeDocument/2006/relationships/hyperlink" Target="https://www.wowhead.com/forever/item=279985/arcane-salvager" TargetMode="External"/><Relationship Id="rId20" Type="http://schemas.openxmlformats.org/officeDocument/2006/relationships/hyperlink" Target="https://www.wowhead.com/forever/guide/camping-overview-unlock-rewards" TargetMode="External"/><Relationship Id="rId21" Type="http://schemas.openxmlformats.org/officeDocument/2006/relationships/hyperlink" Target="https://warcraft.wiki.gg/wiki/Thread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6" min="4" style="0" width="16"/>
    <col collapsed="false" customWidth="true" hidden="false" outlineLevel="0" max="7" min="7" style="0" width="14"/>
    <col collapsed="false" customWidth="true" hidden="false" outlineLevel="0" max="9" min="8" style="0" width="16"/>
    <col collapsed="false" customWidth="true" hidden="false" outlineLevel="0" max="10" min="10" style="0" width="14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  <c r="C4" s="2" t="s">
        <v>4</v>
      </c>
    </row>
    <row r="5" customFormat="false" ht="15" hidden="false" customHeight="false" outlineLevel="0" collapsed="false">
      <c r="A5" s="3" t="s">
        <v>5</v>
      </c>
      <c r="B5" s="4" t="s">
        <v>6</v>
      </c>
      <c r="C5" s="2" t="s">
        <v>7</v>
      </c>
    </row>
    <row r="6" customFormat="false" ht="15" hidden="false" customHeight="false" outlineLevel="0" collapsed="false">
      <c r="A6" s="3" t="s">
        <v>8</v>
      </c>
      <c r="B6" s="5" t="n">
        <v>50</v>
      </c>
      <c r="C6" s="2" t="s">
        <v>9</v>
      </c>
    </row>
    <row r="8" customFormat="false" ht="23.85" hidden="false" customHeight="false" outlineLevel="0" collapsed="false">
      <c r="A8" s="6" t="s">
        <v>10</v>
      </c>
      <c r="B8" s="6" t="s">
        <v>11</v>
      </c>
      <c r="C8" s="6" t="s">
        <v>12</v>
      </c>
      <c r="D8" s="6" t="s">
        <v>13</v>
      </c>
      <c r="E8" s="6" t="s">
        <v>14</v>
      </c>
      <c r="F8" s="6" t="s">
        <v>15</v>
      </c>
      <c r="G8" s="6" t="s">
        <v>16</v>
      </c>
      <c r="H8" s="6" t="s">
        <v>17</v>
      </c>
      <c r="I8" s="6" t="s">
        <v>18</v>
      </c>
      <c r="J8" s="6" t="s">
        <v>19</v>
      </c>
    </row>
    <row r="9" customFormat="false" ht="15" hidden="false" customHeight="false" outlineLevel="0" collapsed="false">
      <c r="A9" s="3" t="s">
        <v>20</v>
      </c>
      <c r="B9" s="7" t="n">
        <f aca="false">SUMIFS(Bedarf!$H$3:$H$85,Bedarf!$A$3:$A$85,"LW",Bedarf!$B$3:$B$85,$A9)/100</f>
        <v>1.424</v>
      </c>
      <c r="C9" s="8" t="str">
        <f aca="false">IF(B9="","",INT(ROUND(B9*10000,0)/10000)&amp;"g "&amp;INT(MOD(ROUND(B9*10000,0),10000)/100)&amp;"s "&amp;MOD(ROUND(B9*10000,0),100)&amp;"c")</f>
        <v>1g 42s 40c</v>
      </c>
      <c r="D9" s="9" t="n">
        <f aca="false">SUMIFS(Bedarf!$I$3:$I$85,Bedarf!$A$3:$A$85,"LW",Bedarf!$B$3:$B$85,$A9)</f>
        <v>0</v>
      </c>
      <c r="E9" s="9" t="n">
        <f aca="false">SUMIFS(Bedarf!$J$3:$J$85,Bedarf!$A$3:$A$85,"LW",Bedarf!$B$3:$B$85,$A9)</f>
        <v>0</v>
      </c>
      <c r="F9" s="7" t="n">
        <f aca="false">SUMIFS(Bedarf!$H$3:$H$85,Bedarf!$A$3:$A$85,"VZ",Bedarf!$B$3:$B$85,$A9)/100</f>
        <v>1.1745</v>
      </c>
      <c r="G9" s="8" t="str">
        <f aca="false">IF(F9="","",INT(ROUND(F9*10000,0)/10000)&amp;"g "&amp;INT(MOD(ROUND(F9*10000,0),10000)/100)&amp;"s "&amp;MOD(ROUND(F9*10000,0),100)&amp;"c")</f>
        <v>1g 17s 45c</v>
      </c>
      <c r="H9" s="9" t="n">
        <f aca="false">SUMIFS(Bedarf!$I$3:$I$85,Bedarf!$A$3:$A$85,"VZ",Bedarf!$B$3:$B$85,$A9)</f>
        <v>1</v>
      </c>
      <c r="I9" s="9" t="n">
        <f aca="false">SUMIFS(Bedarf!$J$3:$J$85,Bedarf!$A$3:$A$85,"VZ",Bedarf!$B$3:$B$85,$A9)</f>
        <v>0</v>
      </c>
      <c r="J9" s="10" t="n">
        <f aca="false">B9+F9</f>
        <v>2.5985</v>
      </c>
    </row>
    <row r="10" customFormat="false" ht="15" hidden="false" customHeight="false" outlineLevel="0" collapsed="false">
      <c r="A10" s="3" t="s">
        <v>21</v>
      </c>
      <c r="B10" s="7" t="n">
        <f aca="false">SUMIFS(Bedarf!$H$3:$H$85,Bedarf!$A$3:$A$85,"LW",Bedarf!$B$3:$B$85,$A10)/100</f>
        <v>5.1228</v>
      </c>
      <c r="C10" s="8" t="str">
        <f aca="false">IF(B10="","",INT(ROUND(B10*10000,0)/10000)&amp;"g "&amp;INT(MOD(ROUND(B10*10000,0),10000)/100)&amp;"s "&amp;MOD(ROUND(B10*10000,0),100)&amp;"c")</f>
        <v>5g 12s 28c</v>
      </c>
      <c r="D10" s="9" t="n">
        <f aca="false">SUMIFS(Bedarf!$I$3:$I$85,Bedarf!$A$3:$A$85,"LW",Bedarf!$B$3:$B$85,$A10)</f>
        <v>0</v>
      </c>
      <c r="E10" s="9" t="n">
        <f aca="false">SUMIFS(Bedarf!$J$3:$J$85,Bedarf!$A$3:$A$85,"LW",Bedarf!$B$3:$B$85,$A10)</f>
        <v>0</v>
      </c>
      <c r="F10" s="7" t="n">
        <f aca="false">SUMIFS(Bedarf!$H$3:$H$85,Bedarf!$A$3:$A$85,"VZ",Bedarf!$B$3:$B$85,$A10)/100</f>
        <v>4.964</v>
      </c>
      <c r="G10" s="8" t="str">
        <f aca="false">IF(F10="","",INT(ROUND(F10*10000,0)/10000)&amp;"g "&amp;INT(MOD(ROUND(F10*10000,0),10000)/100)&amp;"s "&amp;MOD(ROUND(F10*10000,0),100)&amp;"c")</f>
        <v>4g 96s 40c</v>
      </c>
      <c r="H10" s="9" t="n">
        <f aca="false">SUMIFS(Bedarf!$I$3:$I$85,Bedarf!$A$3:$A$85,"VZ",Bedarf!$B$3:$B$85,$A10)</f>
        <v>0</v>
      </c>
      <c r="I10" s="9" t="n">
        <f aca="false">SUMIFS(Bedarf!$J$3:$J$85,Bedarf!$A$3:$A$85,"VZ",Bedarf!$B$3:$B$85,$A10)</f>
        <v>0</v>
      </c>
      <c r="J10" s="10" t="n">
        <f aca="false">B10+F10</f>
        <v>10.0868</v>
      </c>
    </row>
    <row r="11" customFormat="false" ht="15" hidden="false" customHeight="false" outlineLevel="0" collapsed="false">
      <c r="A11" s="3" t="s">
        <v>22</v>
      </c>
      <c r="B11" s="7" t="n">
        <f aca="false">SUMIFS(Bedarf!$H$3:$H$85,Bedarf!$A$3:$A$85,"LW",Bedarf!$B$3:$B$85,$A11)/100</f>
        <v>36.3315</v>
      </c>
      <c r="C11" s="8" t="str">
        <f aca="false">IF(B11="","",INT(ROUND(B11*10000,0)/10000)&amp;"g "&amp;INT(MOD(ROUND(B11*10000,0),10000)/100)&amp;"s "&amp;MOD(ROUND(B11*10000,0),100)&amp;"c")</f>
        <v>36g 33s 15c</v>
      </c>
      <c r="D11" s="9" t="n">
        <f aca="false">SUMIFS(Bedarf!$I$3:$I$85,Bedarf!$A$3:$A$85,"LW",Bedarf!$B$3:$B$85,$A11)</f>
        <v>0</v>
      </c>
      <c r="E11" s="9" t="n">
        <f aca="false">SUMIFS(Bedarf!$J$3:$J$85,Bedarf!$A$3:$A$85,"LW",Bedarf!$B$3:$B$85,$A11)</f>
        <v>0</v>
      </c>
      <c r="F11" s="7" t="n">
        <f aca="false">SUMIFS(Bedarf!$H$3:$H$85,Bedarf!$A$3:$A$85,"VZ",Bedarf!$B$3:$B$85,$A11)/100</f>
        <v>12.5645</v>
      </c>
      <c r="G11" s="8" t="str">
        <f aca="false">IF(F11="","",INT(ROUND(F11*10000,0)/10000)&amp;"g "&amp;INT(MOD(ROUND(F11*10000,0),10000)/100)&amp;"s "&amp;MOD(ROUND(F11*10000,0),100)&amp;"c")</f>
        <v>12g 56s 45c</v>
      </c>
      <c r="H11" s="9" t="n">
        <f aca="false">SUMIFS(Bedarf!$I$3:$I$85,Bedarf!$A$3:$A$85,"VZ",Bedarf!$B$3:$B$85,$A11)</f>
        <v>0</v>
      </c>
      <c r="I11" s="9" t="n">
        <f aca="false">SUMIFS(Bedarf!$J$3:$J$85,Bedarf!$A$3:$A$85,"VZ",Bedarf!$B$3:$B$85,$A11)</f>
        <v>2</v>
      </c>
      <c r="J11" s="10" t="n">
        <f aca="false">B11+F11</f>
        <v>48.896</v>
      </c>
    </row>
    <row r="12" customFormat="false" ht="15" hidden="false" customHeight="false" outlineLevel="0" collapsed="false">
      <c r="A12" s="3" t="s">
        <v>23</v>
      </c>
      <c r="B12" s="7" t="n">
        <f aca="false">SUMIFS(Bedarf!$H$3:$H$85,Bedarf!$A$3:$A$85,"LW",Bedarf!$B$3:$B$85,$A12)/100</f>
        <v>161.7865</v>
      </c>
      <c r="C12" s="8" t="str">
        <f aca="false">IF(B12="","",INT(ROUND(B12*10000,0)/10000)&amp;"g "&amp;INT(MOD(ROUND(B12*10000,0),10000)/100)&amp;"s "&amp;MOD(ROUND(B12*10000,0),100)&amp;"c")</f>
        <v>161g 78s 65c</v>
      </c>
      <c r="D12" s="9" t="n">
        <f aca="false">SUMIFS(Bedarf!$I$3:$I$85,Bedarf!$A$3:$A$85,"LW",Bedarf!$B$3:$B$85,$A12)</f>
        <v>0</v>
      </c>
      <c r="E12" s="9" t="n">
        <f aca="false">SUMIFS(Bedarf!$J$3:$J$85,Bedarf!$A$3:$A$85,"LW",Bedarf!$B$3:$B$85,$A12)</f>
        <v>0</v>
      </c>
      <c r="F12" s="7" t="n">
        <f aca="false">SUMIFS(Bedarf!$H$3:$H$85,Bedarf!$A$3:$A$85,"VZ",Bedarf!$B$3:$B$85,$A12)/100</f>
        <v>68.9352</v>
      </c>
      <c r="G12" s="8" t="str">
        <f aca="false">IF(F12="","",INT(ROUND(F12*10000,0)/10000)&amp;"g "&amp;INT(MOD(ROUND(F12*10000,0),10000)/100)&amp;"s "&amp;MOD(ROUND(F12*10000,0),100)&amp;"c")</f>
        <v>68g 93s 52c</v>
      </c>
      <c r="H12" s="9" t="n">
        <f aca="false">SUMIFS(Bedarf!$I$3:$I$85,Bedarf!$A$3:$A$85,"VZ",Bedarf!$B$3:$B$85,$A12)</f>
        <v>0</v>
      </c>
      <c r="I12" s="9" t="n">
        <f aca="false">SUMIFS(Bedarf!$J$3:$J$85,Bedarf!$A$3:$A$85,"VZ",Bedarf!$B$3:$B$85,$A12)</f>
        <v>3</v>
      </c>
      <c r="J12" s="10" t="n">
        <f aca="false">B12+F12</f>
        <v>230.7217</v>
      </c>
    </row>
    <row r="13" customFormat="false" ht="15" hidden="false" customHeight="false" outlineLevel="0" collapsed="false">
      <c r="A13" s="3" t="s">
        <v>24</v>
      </c>
      <c r="B13" s="7" t="n">
        <f aca="false">SUMIFS(Bedarf!$H$3:$H$85,Bedarf!$A$3:$A$85,"LW",Bedarf!$B$3:$B$85,$A13)/100</f>
        <v>108.1272</v>
      </c>
      <c r="C13" s="8" t="str">
        <f aca="false">IF(B13="","",INT(ROUND(B13*10000,0)/10000)&amp;"g "&amp;INT(MOD(ROUND(B13*10000,0),10000)/100)&amp;"s "&amp;MOD(ROUND(B13*10000,0),100)&amp;"c")</f>
        <v>108g 12s 72c</v>
      </c>
      <c r="D13" s="9" t="n">
        <f aca="false">SUMIFS(Bedarf!$I$3:$I$85,Bedarf!$A$3:$A$85,"LW",Bedarf!$B$3:$B$85,$A13)</f>
        <v>0</v>
      </c>
      <c r="E13" s="9" t="n">
        <f aca="false">SUMIFS(Bedarf!$J$3:$J$85,Bedarf!$A$3:$A$85,"LW",Bedarf!$B$3:$B$85,$A13)</f>
        <v>0</v>
      </c>
      <c r="F13" s="7" t="n">
        <f aca="false">SUMIFS(Bedarf!$H$3:$H$85,Bedarf!$A$3:$A$85,"VZ",Bedarf!$B$3:$B$85,$A13)/100</f>
        <v>1536.32</v>
      </c>
      <c r="G13" s="8" t="str">
        <f aca="false">IF(F13="","",INT(ROUND(F13*10000,0)/10000)&amp;"g "&amp;INT(MOD(ROUND(F13*10000,0),10000)/100)&amp;"s "&amp;MOD(ROUND(F13*10000,0),100)&amp;"c")</f>
        <v>1536g 32s 0c</v>
      </c>
      <c r="H13" s="9" t="n">
        <f aca="false">SUMIFS(Bedarf!$I$3:$I$85,Bedarf!$A$3:$A$85,"VZ",Bedarf!$B$3:$B$85,$A13)</f>
        <v>3</v>
      </c>
      <c r="I13" s="9" t="n">
        <f aca="false">SUMIFS(Bedarf!$J$3:$J$85,Bedarf!$A$3:$A$85,"VZ",Bedarf!$B$3:$B$85,$A13)</f>
        <v>8</v>
      </c>
      <c r="J13" s="10" t="n">
        <f aca="false">B13+F13</f>
        <v>1644.4472</v>
      </c>
    </row>
    <row r="14" customFormat="false" ht="15" hidden="false" customHeight="false" outlineLevel="0" collapsed="false">
      <c r="A14" s="11" t="s">
        <v>25</v>
      </c>
      <c r="B14" s="12" t="n">
        <f aca="false">SUM(B9:B13)</f>
        <v>312.792</v>
      </c>
      <c r="C14" s="11" t="str">
        <f aca="false">IF(B14="","",INT(ROUND(B14*10000,0)/10000)&amp;"g "&amp;INT(MOD(ROUND(B14*10000,0),10000)/100)&amp;"s "&amp;MOD(ROUND(B14*10000,0),100)&amp;"c")</f>
        <v>312g 79s 20c</v>
      </c>
      <c r="D14" s="13" t="n">
        <f aca="false">SUM(D9:D13)</f>
        <v>0</v>
      </c>
      <c r="E14" s="13" t="n">
        <f aca="false">SUM(E9:E13)</f>
        <v>0</v>
      </c>
      <c r="F14" s="12" t="n">
        <f aca="false">SUM(F9:F13)</f>
        <v>1623.9582</v>
      </c>
      <c r="G14" s="11" t="str">
        <f aca="false">IF(F14="","",INT(ROUND(F14*10000,0)/10000)&amp;"g "&amp;INT(MOD(ROUND(F14*10000,0),10000)/100)&amp;"s "&amp;MOD(ROUND(F14*10000,0),100)&amp;"c")</f>
        <v>1623g 95s 82c</v>
      </c>
      <c r="H14" s="13" t="n">
        <f aca="false">SUM(H9:H13)</f>
        <v>4</v>
      </c>
      <c r="I14" s="13" t="n">
        <f aca="false">SUM(I9:I13)</f>
        <v>13</v>
      </c>
      <c r="J14" s="12" t="n">
        <f aca="false">SUM(J9:J13)</f>
        <v>1936.7502</v>
      </c>
    </row>
    <row r="15" customFormat="false" ht="15" hidden="false" customHeight="false" outlineLevel="0" collapsed="false">
      <c r="A15" s="3" t="s">
        <v>26</v>
      </c>
      <c r="B15" s="10" t="n">
        <f aca="false">SUM(B9:B11)</f>
        <v>42.8783</v>
      </c>
      <c r="C15" s="8" t="str">
        <f aca="false">IF(B15="","",INT(ROUND(B15*10000,0)/10000)&amp;"g "&amp;INT(MOD(ROUND(B15*10000,0),10000)/100)&amp;"s "&amp;MOD(ROUND(B15*10000,0),100)&amp;"c")</f>
        <v>42g 87s 83c</v>
      </c>
      <c r="F15" s="10" t="n">
        <f aca="false">SUM(F9:F11)</f>
        <v>18.703</v>
      </c>
      <c r="G15" s="8" t="str">
        <f aca="false">IF(F15="","",INT(ROUND(F15*10000,0)/10000)&amp;"g "&amp;INT(MOD(ROUND(F15*10000,0),10000)/100)&amp;"s "&amp;MOD(ROUND(F15*10000,0),100)&amp;"c")</f>
        <v>18g 70s 30c</v>
      </c>
      <c r="J15" s="10" t="n">
        <f aca="false">B15+F15</f>
        <v>61.5813</v>
      </c>
    </row>
    <row r="16" customFormat="false" ht="15" hidden="false" customHeight="false" outlineLevel="0" collapsed="false">
      <c r="A16" s="3" t="s">
        <v>27</v>
      </c>
      <c r="F16" s="7" t="n">
        <f aca="false">Kreislauf!H59</f>
        <v>201.5845625</v>
      </c>
      <c r="G16" s="8" t="str">
        <f aca="false">IF(F16="","",INT(ROUND(F16*10000,0)/10000)&amp;"g "&amp;INT(MOD(ROUND(F16*10000,0),10000)/100)&amp;"s "&amp;MOD(ROUND(F16*10000,0),100)&amp;"c")</f>
        <v>201g 58s 46c</v>
      </c>
    </row>
    <row r="17" customFormat="false" ht="15" hidden="false" customHeight="false" outlineLevel="0" collapsed="false">
      <c r="A17" s="3" t="s">
        <v>28</v>
      </c>
      <c r="F17" s="10" t="n">
        <f aca="false">F14-F16</f>
        <v>1422.3736375</v>
      </c>
      <c r="G17" s="8" t="str">
        <f aca="false">IF(F17="","",INT(ROUND(F17*10000,0)/10000)&amp;"g "&amp;INT(MOD(ROUND(F17*10000,0),10000)/100)&amp;"s "&amp;MOD(ROUND(F17*10000,0),100)&amp;"c")</f>
        <v>1422g 37s 36c</v>
      </c>
    </row>
    <row r="18" customFormat="false" ht="15" hidden="false" customHeight="false" outlineLevel="0" collapsed="false">
      <c r="A18" s="3" t="s">
        <v>29</v>
      </c>
      <c r="J18" s="14" t="n">
        <f aca="false">B14+F17</f>
        <v>1735.1656375</v>
      </c>
    </row>
    <row r="20" customFormat="false" ht="15" hidden="false" customHeight="false" outlineLevel="0" collapsed="false">
      <c r="A20" s="3" t="s">
        <v>30</v>
      </c>
    </row>
    <row r="21" customFormat="false" ht="15" hidden="false" customHeight="false" outlineLevel="0" collapsed="false">
      <c r="A21" s="8" t="s">
        <v>31</v>
      </c>
    </row>
    <row r="22" customFormat="false" ht="15" hidden="false" customHeight="false" outlineLevel="0" collapsed="false">
      <c r="A22" s="8" t="s">
        <v>32</v>
      </c>
    </row>
    <row r="23" customFormat="false" ht="15" hidden="false" customHeight="false" outlineLevel="0" collapsed="false">
      <c r="A23" s="8" t="s">
        <v>33</v>
      </c>
    </row>
    <row r="24" customFormat="false" ht="15" hidden="false" customHeight="false" outlineLevel="0" collapsed="false">
      <c r="A24" s="8" t="s">
        <v>34</v>
      </c>
    </row>
    <row r="25" customFormat="false" ht="15" hidden="false" customHeight="false" outlineLevel="0" collapsed="false">
      <c r="A25" s="8" t="s">
        <v>35</v>
      </c>
    </row>
    <row r="27" customFormat="false" ht="15" hidden="false" customHeight="false" outlineLevel="0" collapsed="false">
      <c r="A27" s="3" t="s">
        <v>36</v>
      </c>
    </row>
    <row r="28" customFormat="false" ht="23.85" hidden="false" customHeight="false" outlineLevel="0" collapsed="false">
      <c r="A28" s="6" t="s">
        <v>37</v>
      </c>
      <c r="B28" s="6" t="s">
        <v>38</v>
      </c>
      <c r="C28" s="6" t="s">
        <v>39</v>
      </c>
      <c r="D28" s="6" t="s">
        <v>40</v>
      </c>
      <c r="E28" s="6" t="s">
        <v>41</v>
      </c>
      <c r="F28" s="6" t="s">
        <v>42</v>
      </c>
      <c r="G28" s="6" t="s">
        <v>43</v>
      </c>
    </row>
    <row r="29" customFormat="false" ht="15" hidden="false" customHeight="false" outlineLevel="0" collapsed="false">
      <c r="A29" s="8" t="s">
        <v>44</v>
      </c>
      <c r="B29" s="8" t="s">
        <v>45</v>
      </c>
      <c r="C29" s="15" t="n">
        <f aca="false">SUMIFS(Bedarf!$F$3:$F$85,Bedarf!$A$3:$A$85,B29,Bedarf!$E$3:$E$85,A29)</f>
        <v>90</v>
      </c>
      <c r="D29" s="16" t="n">
        <v>90</v>
      </c>
      <c r="E29" s="7" t="n">
        <f aca="false">IFERROR(INDEX(Preise!$L$3:$L$53,MATCH(A29,Preise!$A$3:$A$53,0)),"")</f>
        <v>0.25</v>
      </c>
      <c r="F29" s="10" t="n">
        <f aca="false">IF(E29="","",C29*E29/100)</f>
        <v>0.225</v>
      </c>
      <c r="G29" s="17" t="str">
        <f aca="false">IFERROR(INDEX(Preise!$M$3:$M$53,MATCH(A29,Preise!$A$3:$A$53,0)),"")</f>
        <v/>
      </c>
    </row>
    <row r="30" customFormat="false" ht="15" hidden="false" customHeight="false" outlineLevel="0" collapsed="false">
      <c r="A30" s="8" t="s">
        <v>46</v>
      </c>
      <c r="B30" s="8" t="s">
        <v>45</v>
      </c>
      <c r="C30" s="15" t="n">
        <f aca="false">SUMIFS(Bedarf!$F$3:$F$85,Bedarf!$A$3:$A$85,B30,Bedarf!$E$3:$E$85,A30)</f>
        <v>198</v>
      </c>
      <c r="D30" s="16" t="n">
        <v>198</v>
      </c>
      <c r="E30" s="7" t="n">
        <f aca="false">IFERROR(INDEX(Preise!$L$3:$L$53,MATCH(A30,Preise!$A$3:$A$53,0)),"")</f>
        <v>0.5</v>
      </c>
      <c r="F30" s="10" t="n">
        <f aca="false">IF(E30="","",C30*E30/100)</f>
        <v>0.99</v>
      </c>
      <c r="G30" s="17" t="str">
        <f aca="false">IFERROR(INDEX(Preise!$M$3:$M$53,MATCH(A30,Preise!$A$3:$A$53,0)),"")</f>
        <v/>
      </c>
    </row>
    <row r="31" customFormat="false" ht="15" hidden="false" customHeight="false" outlineLevel="0" collapsed="false">
      <c r="A31" s="8" t="s">
        <v>47</v>
      </c>
      <c r="B31" s="8" t="s">
        <v>45</v>
      </c>
      <c r="C31" s="15" t="n">
        <f aca="false">SUMIFS(Bedarf!$F$3:$F$85,Bedarf!$A$3:$A$85,B31,Bedarf!$E$3:$E$85,A31)</f>
        <v>10</v>
      </c>
      <c r="D31" s="16" t="n">
        <v>10</v>
      </c>
      <c r="E31" s="7" t="n">
        <f aca="false">IFERROR(INDEX(Preise!$L$3:$L$53,MATCH(A31,Preise!$A$3:$A$53,0)),"")</f>
        <v>0.69</v>
      </c>
      <c r="F31" s="10" t="n">
        <f aca="false">IF(E31="","",C31*E31/100)</f>
        <v>0.069</v>
      </c>
      <c r="G31" s="17" t="str">
        <f aca="false">IFERROR(INDEX(Preise!$M$3:$M$53,MATCH(A31,Preise!$A$3:$A$53,0)),"")</f>
        <v/>
      </c>
    </row>
    <row r="32" customFormat="false" ht="15" hidden="false" customHeight="false" outlineLevel="0" collapsed="false">
      <c r="A32" s="8" t="s">
        <v>48</v>
      </c>
      <c r="B32" s="8" t="s">
        <v>45</v>
      </c>
      <c r="C32" s="15" t="n">
        <f aca="false">SUMIFS(Bedarf!$F$3:$F$85,Bedarf!$A$3:$A$85,B32,Bedarf!$E$3:$E$85,A32)</f>
        <v>85</v>
      </c>
      <c r="D32" s="16" t="s">
        <v>49</v>
      </c>
      <c r="E32" s="7" t="n">
        <f aca="false">IFERROR(INDEX(Preise!$L$3:$L$53,MATCH(A32,Preise!$A$3:$A$53,0)),"")</f>
        <v>0.5</v>
      </c>
      <c r="F32" s="10" t="n">
        <f aca="false">IF(E32="","",C32*E32/100)</f>
        <v>0.425</v>
      </c>
      <c r="G32" s="17" t="str">
        <f aca="false">IFERROR(INDEX(Preise!$M$3:$M$53,MATCH(A32,Preise!$A$3:$A$53,0)),"")</f>
        <v>Händler</v>
      </c>
    </row>
    <row r="33" customFormat="false" ht="15" hidden="false" customHeight="false" outlineLevel="0" collapsed="false">
      <c r="A33" s="8" t="s">
        <v>50</v>
      </c>
      <c r="B33" s="8" t="s">
        <v>45</v>
      </c>
      <c r="C33" s="15" t="n">
        <f aca="false">SUMIFS(Bedarf!$F$3:$F$85,Bedarf!$A$3:$A$85,B33,Bedarf!$E$3:$E$85,A33)</f>
        <v>90</v>
      </c>
      <c r="D33" s="16" t="n">
        <v>90</v>
      </c>
      <c r="E33" s="7" t="n">
        <f aca="false">IFERROR(INDEX(Preise!$L$3:$L$53,MATCH(A33,Preise!$A$3:$A$53,0)),"")</f>
        <v>0.1</v>
      </c>
      <c r="F33" s="10" t="n">
        <f aca="false">IF(E33="","",C33*E33/100)</f>
        <v>0.09</v>
      </c>
      <c r="G33" s="17" t="str">
        <f aca="false">IFERROR(INDEX(Preise!$M$3:$M$53,MATCH(A33,Preise!$A$3:$A$53,0)),"")</f>
        <v>Händler</v>
      </c>
    </row>
    <row r="34" customFormat="false" ht="15" hidden="false" customHeight="false" outlineLevel="0" collapsed="false">
      <c r="A34" s="8" t="s">
        <v>51</v>
      </c>
      <c r="B34" s="8" t="s">
        <v>45</v>
      </c>
      <c r="C34" s="15" t="n">
        <f aca="false">SUMIFS(Bedarf!$F$3:$F$85,Bedarf!$A$3:$A$85,B34,Bedarf!$E$3:$E$85,A34)</f>
        <v>15</v>
      </c>
      <c r="D34" s="16" t="n">
        <v>15</v>
      </c>
      <c r="E34" s="7" t="n">
        <f aca="false">IFERROR(INDEX(Preise!$L$3:$L$53,MATCH(A34,Preise!$A$3:$A$53,0)),"")</f>
        <v>8.88</v>
      </c>
      <c r="F34" s="10" t="n">
        <f aca="false">IF(E34="","",C34*E34/100)</f>
        <v>1.332</v>
      </c>
      <c r="G34" s="17" t="str">
        <f aca="false">IFERROR(INDEX(Preise!$M$3:$M$53,MATCH(A34,Preise!$A$3:$A$53,0)),"")</f>
        <v/>
      </c>
    </row>
    <row r="35" customFormat="false" ht="15" hidden="false" customHeight="false" outlineLevel="0" collapsed="false">
      <c r="A35" s="8" t="s">
        <v>52</v>
      </c>
      <c r="B35" s="8" t="s">
        <v>45</v>
      </c>
      <c r="C35" s="15" t="n">
        <f aca="false">SUMIFS(Bedarf!$F$3:$F$85,Bedarf!$A$3:$A$85,B35,Bedarf!$E$3:$E$85,A35)</f>
        <v>113</v>
      </c>
      <c r="D35" s="16" t="n">
        <v>113</v>
      </c>
      <c r="E35" s="7" t="n">
        <f aca="false">IFERROR(INDEX(Preise!$L$3:$L$53,MATCH(A35,Preise!$A$3:$A$53,0)),"")</f>
        <v>1.91</v>
      </c>
      <c r="F35" s="10" t="n">
        <f aca="false">IF(E35="","",C35*E35/100)</f>
        <v>2.1583</v>
      </c>
      <c r="G35" s="17" t="str">
        <f aca="false">IFERROR(INDEX(Preise!$M$3:$M$53,MATCH(A35,Preise!$A$3:$A$53,0)),"")</f>
        <v/>
      </c>
    </row>
    <row r="36" customFormat="false" ht="15" hidden="false" customHeight="false" outlineLevel="0" collapsed="false">
      <c r="A36" s="8" t="s">
        <v>53</v>
      </c>
      <c r="B36" s="8" t="s">
        <v>45</v>
      </c>
      <c r="C36" s="15" t="n">
        <f aca="false">SUMIFS(Bedarf!$F$3:$F$85,Bedarf!$A$3:$A$85,B36,Bedarf!$E$3:$E$85,A36)</f>
        <v>116</v>
      </c>
      <c r="D36" s="16" t="n">
        <v>116</v>
      </c>
      <c r="E36" s="7" t="n">
        <f aca="false">IFERROR(INDEX(Preise!$L$3:$L$53,MATCH(A36,Preise!$A$3:$A$53,0)),"")</f>
        <v>1</v>
      </c>
      <c r="F36" s="10" t="n">
        <f aca="false">IF(E36="","",C36*E36/100)</f>
        <v>1.16</v>
      </c>
      <c r="G36" s="17" t="str">
        <f aca="false">IFERROR(INDEX(Preise!$M$3:$M$53,MATCH(A36,Preise!$A$3:$A$53,0)),"")</f>
        <v>Händler</v>
      </c>
    </row>
    <row r="37" customFormat="false" ht="15" hidden="false" customHeight="false" outlineLevel="0" collapsed="false">
      <c r="A37" s="8" t="s">
        <v>54</v>
      </c>
      <c r="B37" s="8" t="s">
        <v>45</v>
      </c>
      <c r="C37" s="15" t="n">
        <f aca="false">SUMIFS(Bedarf!$F$3:$F$85,Bedarf!$A$3:$A$85,B37,Bedarf!$E$3:$E$85,A37)</f>
        <v>37</v>
      </c>
      <c r="D37" s="16" t="n">
        <v>37</v>
      </c>
      <c r="E37" s="7" t="n">
        <f aca="false">IFERROR(INDEX(Preise!$L$3:$L$53,MATCH(A37,Preise!$A$3:$A$53,0)),"")</f>
        <v>3.5</v>
      </c>
      <c r="F37" s="10" t="n">
        <f aca="false">IF(E37="","",C37*E37/100)</f>
        <v>1.295</v>
      </c>
      <c r="G37" s="17" t="str">
        <f aca="false">IFERROR(INDEX(Preise!$M$3:$M$53,MATCH(A37,Preise!$A$3:$A$53,0)),"")</f>
        <v>Händler</v>
      </c>
    </row>
    <row r="38" customFormat="false" ht="15" hidden="false" customHeight="false" outlineLevel="0" collapsed="false">
      <c r="A38" s="8" t="s">
        <v>55</v>
      </c>
      <c r="B38" s="8" t="s">
        <v>45</v>
      </c>
      <c r="C38" s="15" t="n">
        <f aca="false">SUMIFS(Bedarf!$F$3:$F$85,Bedarf!$A$3:$A$85,B38,Bedarf!$E$3:$E$85,A38)</f>
        <v>20</v>
      </c>
      <c r="D38" s="16" t="s">
        <v>56</v>
      </c>
      <c r="E38" s="7" t="n">
        <f aca="false">IFERROR(INDEX(Preise!$L$3:$L$53,MATCH(A38,Preise!$A$3:$A$53,0)),"")</f>
        <v>35.4</v>
      </c>
      <c r="F38" s="10" t="n">
        <f aca="false">IF(E38="","",C38*E38/100)</f>
        <v>7.08</v>
      </c>
      <c r="G38" s="17" t="str">
        <f aca="false">IFERROR(INDEX(Preise!$M$3:$M$53,MATCH(A38,Preise!$A$3:$A$53,0)),"")</f>
        <v/>
      </c>
    </row>
    <row r="39" customFormat="false" ht="15" hidden="false" customHeight="false" outlineLevel="0" collapsed="false">
      <c r="A39" s="8" t="s">
        <v>57</v>
      </c>
      <c r="B39" s="8" t="s">
        <v>45</v>
      </c>
      <c r="C39" s="15" t="n">
        <f aca="false">SUMIFS(Bedarf!$F$3:$F$85,Bedarf!$A$3:$A$85,B39,Bedarf!$E$3:$E$85,A39)</f>
        <v>230</v>
      </c>
      <c r="D39" s="16" t="n">
        <v>230</v>
      </c>
      <c r="E39" s="7" t="n">
        <f aca="false">IFERROR(INDEX(Preise!$L$3:$L$53,MATCH(A39,Preise!$A$3:$A$53,0)),"")</f>
        <v>11.98</v>
      </c>
      <c r="F39" s="10" t="n">
        <f aca="false">IF(E39="","",C39*E39/100)</f>
        <v>27.554</v>
      </c>
      <c r="G39" s="17" t="str">
        <f aca="false">IFERROR(INDEX(Preise!$M$3:$M$53,MATCH(A39,Preise!$A$3:$A$53,0)),"")</f>
        <v/>
      </c>
    </row>
    <row r="40" customFormat="false" ht="15" hidden="false" customHeight="false" outlineLevel="0" collapsed="false">
      <c r="A40" s="8" t="s">
        <v>58</v>
      </c>
      <c r="B40" s="8" t="s">
        <v>45</v>
      </c>
      <c r="C40" s="15" t="n">
        <f aca="false">SUMIFS(Bedarf!$F$3:$F$85,Bedarf!$A$3:$A$85,B40,Bedarf!$E$3:$E$85,A40)</f>
        <v>132</v>
      </c>
      <c r="D40" s="16" t="n">
        <v>122</v>
      </c>
      <c r="E40" s="7" t="n">
        <f aca="false">IFERROR(INDEX(Preise!$L$3:$L$53,MATCH(A40,Preise!$A$3:$A$53,0)),"")</f>
        <v>5</v>
      </c>
      <c r="F40" s="10" t="n">
        <f aca="false">IF(E40="","",C40*E40/100)</f>
        <v>6.6</v>
      </c>
      <c r="G40" s="17" t="str">
        <f aca="false">IFERROR(INDEX(Preise!$M$3:$M$53,MATCH(A40,Preise!$A$3:$A$53,0)),"")</f>
        <v>Händler</v>
      </c>
    </row>
    <row r="41" customFormat="false" ht="15" hidden="false" customHeight="false" outlineLevel="0" collapsed="false">
      <c r="A41" s="8" t="s">
        <v>59</v>
      </c>
      <c r="B41" s="8" t="s">
        <v>45</v>
      </c>
      <c r="C41" s="15" t="n">
        <f aca="false">SUMIFS(Bedarf!$F$3:$F$85,Bedarf!$A$3:$A$85,B41,Bedarf!$E$3:$E$85,A41)</f>
        <v>435</v>
      </c>
      <c r="D41" s="16" t="n">
        <v>435</v>
      </c>
      <c r="E41" s="7" t="n">
        <f aca="false">IFERROR(INDEX(Preise!$L$3:$L$53,MATCH(A41,Preise!$A$3:$A$53,0)),"")</f>
        <v>35.79</v>
      </c>
      <c r="F41" s="10" t="n">
        <f aca="false">IF(E41="","",C41*E41/100)</f>
        <v>155.6865</v>
      </c>
      <c r="G41" s="17" t="str">
        <f aca="false">IFERROR(INDEX(Preise!$M$3:$M$53,MATCH(A41,Preise!$A$3:$A$53,0)),"")</f>
        <v/>
      </c>
    </row>
    <row r="42" customFormat="false" ht="15" hidden="false" customHeight="false" outlineLevel="0" collapsed="false">
      <c r="A42" s="8" t="s">
        <v>60</v>
      </c>
      <c r="B42" s="8" t="s">
        <v>45</v>
      </c>
      <c r="C42" s="15" t="n">
        <f aca="false">SUMIFS(Bedarf!$F$3:$F$85,Bedarf!$A$3:$A$85,B42,Bedarf!$E$3:$E$85,A42)</f>
        <v>436</v>
      </c>
      <c r="D42" s="16" t="n">
        <v>436</v>
      </c>
      <c r="E42" s="7" t="n">
        <f aca="false">IFERROR(INDEX(Preise!$L$3:$L$53,MATCH(A42,Preise!$A$3:$A$53,0)),"")</f>
        <v>19.02</v>
      </c>
      <c r="F42" s="10" t="n">
        <f aca="false">IF(E42="","",C42*E42/100)</f>
        <v>82.9272</v>
      </c>
      <c r="G42" s="17" t="str">
        <f aca="false">IFERROR(INDEX(Preise!$M$3:$M$53,MATCH(A42,Preise!$A$3:$A$53,0)),"")</f>
        <v/>
      </c>
    </row>
    <row r="43" customFormat="false" ht="15" hidden="false" customHeight="false" outlineLevel="0" collapsed="false">
      <c r="A43" s="8" t="s">
        <v>61</v>
      </c>
      <c r="B43" s="8" t="s">
        <v>45</v>
      </c>
      <c r="C43" s="15" t="n">
        <f aca="false">SUMIFS(Bedarf!$F$3:$F$85,Bedarf!$A$3:$A$85,B43,Bedarf!$E$3:$E$85,A43)</f>
        <v>42</v>
      </c>
      <c r="D43" s="16" t="n">
        <v>42</v>
      </c>
      <c r="E43" s="7" t="n">
        <f aca="false">IFERROR(INDEX(Preise!$L$3:$L$53,MATCH(A43,Preise!$A$3:$A$53,0)),"")</f>
        <v>10</v>
      </c>
      <c r="F43" s="10" t="n">
        <f aca="false">IF(E43="","",C43*E43/100)</f>
        <v>4.2</v>
      </c>
      <c r="G43" s="17" t="str">
        <f aca="false">IFERROR(INDEX(Preise!$M$3:$M$53,MATCH(A43,Preise!$A$3:$A$53,0)),"")</f>
        <v>Händler</v>
      </c>
    </row>
    <row r="44" customFormat="false" ht="15" hidden="false" customHeight="false" outlineLevel="0" collapsed="false">
      <c r="A44" s="8" t="s">
        <v>62</v>
      </c>
      <c r="B44" s="8" t="s">
        <v>45</v>
      </c>
      <c r="C44" s="15" t="n">
        <f aca="false">SUMIFS(Bedarf!$F$3:$F$85,Bedarf!$A$3:$A$85,B44,Bedarf!$E$3:$E$85,A44)</f>
        <v>42</v>
      </c>
      <c r="D44" s="16" t="n">
        <v>42</v>
      </c>
      <c r="E44" s="7" t="n">
        <f aca="false">IFERROR(INDEX(Preise!$L$3:$L$53,MATCH(A44,Preise!$A$3:$A$53,0)),"")</f>
        <v>50</v>
      </c>
      <c r="F44" s="10" t="n">
        <f aca="false">IF(E44="","",C44*E44/100)</f>
        <v>21</v>
      </c>
      <c r="G44" s="17" t="str">
        <f aca="false">IFERROR(INDEX(Preise!$M$3:$M$53,MATCH(A44,Preise!$A$3:$A$53,0)),"")</f>
        <v>Händler</v>
      </c>
    </row>
    <row r="45" customFormat="false" ht="15" hidden="false" customHeight="false" outlineLevel="0" collapsed="false">
      <c r="A45" s="8" t="s">
        <v>63</v>
      </c>
      <c r="B45" s="8" t="s">
        <v>64</v>
      </c>
      <c r="C45" s="15" t="n">
        <f aca="false">SUMIFS(Bedarf!$F$3:$F$85,Bedarf!$A$3:$A$85,B45,Bedarf!$E$3:$E$85,A45)</f>
        <v>1</v>
      </c>
      <c r="D45" s="16" t="n">
        <v>1</v>
      </c>
      <c r="E45" s="7" t="str">
        <f aca="false">IFERROR(INDEX(Preise!$L$3:$L$53,MATCH(A45,Preise!$A$3:$A$53,0)),"")</f>
        <v/>
      </c>
      <c r="F45" s="10" t="str">
        <f aca="false">IF(E45="","",C45*E45/100)</f>
        <v/>
      </c>
      <c r="G45" s="17" t="str">
        <f aca="false">IFERROR(INDEX(Preise!$M$3:$M$53,MATCH(A45,Preise!$A$3:$A$53,0)),"")</f>
        <v>kein Preis</v>
      </c>
    </row>
    <row r="46" customFormat="false" ht="15" hidden="false" customHeight="false" outlineLevel="0" collapsed="false">
      <c r="A46" s="8" t="s">
        <v>65</v>
      </c>
      <c r="B46" s="8" t="s">
        <v>64</v>
      </c>
      <c r="C46" s="15" t="n">
        <f aca="false">SUMIFS(Bedarf!$F$3:$F$85,Bedarf!$A$3:$A$85,B46,Bedarf!$E$3:$E$85,A46)</f>
        <v>145</v>
      </c>
      <c r="D46" s="16" t="n">
        <v>145</v>
      </c>
      <c r="E46" s="7" t="n">
        <f aca="false">IFERROR(INDEX(Preise!$L$3:$L$53,MATCH(A46,Preise!$A$3:$A$53,0)),"")</f>
        <v>0.84</v>
      </c>
      <c r="F46" s="10" t="n">
        <f aca="false">IF(E46="","",C46*E46/100)</f>
        <v>1.218</v>
      </c>
      <c r="G46" s="17" t="str">
        <f aca="false">IFERROR(INDEX(Preise!$M$3:$M$53,MATCH(A46,Preise!$A$3:$A$53,0)),"")</f>
        <v/>
      </c>
    </row>
    <row r="47" customFormat="false" ht="15" hidden="false" customHeight="false" outlineLevel="0" collapsed="false">
      <c r="A47" s="8" t="s">
        <v>66</v>
      </c>
      <c r="B47" s="8" t="s">
        <v>64</v>
      </c>
      <c r="C47" s="15" t="n">
        <f aca="false">SUMIFS(Bedarf!$F$3:$F$85,Bedarf!$A$3:$A$85,B47,Bedarf!$E$3:$E$85,A47)</f>
        <v>1</v>
      </c>
      <c r="D47" s="16" t="n">
        <v>1</v>
      </c>
      <c r="E47" s="7" t="n">
        <f aca="false">IFERROR(INDEX(Preise!$L$3:$L$53,MATCH(A47,Preise!$A$3:$A$53,0)),"")</f>
        <v>0.69</v>
      </c>
      <c r="F47" s="10" t="n">
        <f aca="false">IF(E47="","",C47*E47/100)</f>
        <v>0.0069</v>
      </c>
      <c r="G47" s="17" t="str">
        <f aca="false">IFERROR(INDEX(Preise!$M$3:$M$53,MATCH(A47,Preise!$A$3:$A$53,0)),"")</f>
        <v/>
      </c>
    </row>
    <row r="48" customFormat="false" ht="15" hidden="false" customHeight="false" outlineLevel="0" collapsed="false">
      <c r="A48" s="8" t="s">
        <v>67</v>
      </c>
      <c r="B48" s="8" t="s">
        <v>64</v>
      </c>
      <c r="C48" s="15" t="n">
        <f aca="false">SUMIFS(Bedarf!$F$3:$F$85,Bedarf!$A$3:$A$85,B48,Bedarf!$E$3:$E$85,A48)</f>
        <v>1</v>
      </c>
      <c r="D48" s="16" t="n">
        <v>1</v>
      </c>
      <c r="E48" s="7" t="n">
        <f aca="false">IFERROR(INDEX(Preise!$L$3:$L$53,MATCH(A48,Preise!$A$3:$A$53,0)),"")</f>
        <v>19</v>
      </c>
      <c r="F48" s="10" t="n">
        <f aca="false">IF(E48="","",C48*E48/100)</f>
        <v>0.19</v>
      </c>
      <c r="G48" s="17" t="str">
        <f aca="false">IFERROR(INDEX(Preise!$M$3:$M$53,MATCH(A48,Preise!$A$3:$A$53,0)),"")</f>
        <v/>
      </c>
    </row>
    <row r="49" customFormat="false" ht="15" hidden="false" customHeight="false" outlineLevel="0" collapsed="false">
      <c r="A49" s="8" t="s">
        <v>68</v>
      </c>
      <c r="B49" s="8" t="s">
        <v>64</v>
      </c>
      <c r="C49" s="15" t="n">
        <f aca="false">SUMIFS(Bedarf!$F$3:$F$85,Bedarf!$A$3:$A$85,B49,Bedarf!$E$3:$E$85,A49)</f>
        <v>12</v>
      </c>
      <c r="D49" s="16" t="n">
        <v>12</v>
      </c>
      <c r="E49" s="7" t="n">
        <f aca="false">IFERROR(INDEX(Preise!$L$3:$L$53,MATCH(A49,Preise!$A$3:$A$53,0)),"")</f>
        <v>1.96</v>
      </c>
      <c r="F49" s="10" t="n">
        <f aca="false">IF(E49="","",C49*E49/100)</f>
        <v>0.2352</v>
      </c>
      <c r="G49" s="17" t="str">
        <f aca="false">IFERROR(INDEX(Preise!$M$3:$M$53,MATCH(A49,Preise!$A$3:$A$53,0)),"")</f>
        <v/>
      </c>
    </row>
    <row r="50" customFormat="false" ht="15" hidden="false" customHeight="false" outlineLevel="0" collapsed="false">
      <c r="A50" s="8" t="s">
        <v>69</v>
      </c>
      <c r="B50" s="8" t="s">
        <v>64</v>
      </c>
      <c r="C50" s="15" t="n">
        <f aca="false">SUMIFS(Bedarf!$F$3:$F$85,Bedarf!$A$3:$A$85,B50,Bedarf!$E$3:$E$85,A50)</f>
        <v>1</v>
      </c>
      <c r="D50" s="16" t="s">
        <v>70</v>
      </c>
      <c r="E50" s="7" t="n">
        <f aca="false">IFERROR(INDEX(Preise!$L$3:$L$53,MATCH(A50,Preise!$A$3:$A$53,0)),"")</f>
        <v>3.14</v>
      </c>
      <c r="F50" s="10" t="n">
        <f aca="false">IF(E50="","",C50*E50/100)</f>
        <v>0.0314</v>
      </c>
      <c r="G50" s="17" t="str">
        <f aca="false">IFERROR(INDEX(Preise!$M$3:$M$53,MATCH(A50,Preise!$A$3:$A$53,0)),"")</f>
        <v/>
      </c>
    </row>
    <row r="51" customFormat="false" ht="15" hidden="false" customHeight="false" outlineLevel="0" collapsed="false">
      <c r="A51" s="8" t="s">
        <v>71</v>
      </c>
      <c r="B51" s="8" t="s">
        <v>64</v>
      </c>
      <c r="C51" s="15" t="n">
        <f aca="false">SUMIFS(Bedarf!$F$3:$F$85,Bedarf!$A$3:$A$85,B51,Bedarf!$E$3:$E$85,A51)</f>
        <v>9</v>
      </c>
      <c r="D51" s="16" t="n">
        <v>9</v>
      </c>
      <c r="E51" s="7" t="n">
        <f aca="false">IFERROR(INDEX(Preise!$L$3:$L$53,MATCH(A51,Preise!$A$3:$A$53,0)),"")</f>
        <v>0.7</v>
      </c>
      <c r="F51" s="10" t="n">
        <f aca="false">IF(E51="","",C51*E51/100)</f>
        <v>0.063</v>
      </c>
      <c r="G51" s="17" t="str">
        <f aca="false">IFERROR(INDEX(Preise!$M$3:$M$53,MATCH(A51,Preise!$A$3:$A$53,0)),"")</f>
        <v/>
      </c>
    </row>
    <row r="52" customFormat="false" ht="15" hidden="false" customHeight="false" outlineLevel="0" collapsed="false">
      <c r="A52" s="8" t="s">
        <v>72</v>
      </c>
      <c r="B52" s="8" t="s">
        <v>64</v>
      </c>
      <c r="C52" s="15" t="n">
        <f aca="false">SUMIFS(Bedarf!$F$3:$F$85,Bedarf!$A$3:$A$85,B52,Bedarf!$E$3:$E$85,A52)</f>
        <v>25</v>
      </c>
      <c r="D52" s="16" t="n">
        <v>25</v>
      </c>
      <c r="E52" s="7" t="n">
        <f aca="false">IFERROR(INDEX(Preise!$L$3:$L$53,MATCH(A52,Preise!$A$3:$A$53,0)),"")</f>
        <v>6.04</v>
      </c>
      <c r="F52" s="10" t="n">
        <f aca="false">IF(E52="","",C52*E52/100)</f>
        <v>1.51</v>
      </c>
      <c r="G52" s="17" t="str">
        <f aca="false">IFERROR(INDEX(Preise!$M$3:$M$53,MATCH(A52,Preise!$A$3:$A$53,0)),"")</f>
        <v/>
      </c>
    </row>
    <row r="53" customFormat="false" ht="15" hidden="false" customHeight="false" outlineLevel="0" collapsed="false">
      <c r="A53" s="8" t="s">
        <v>73</v>
      </c>
      <c r="B53" s="8" t="s">
        <v>64</v>
      </c>
      <c r="C53" s="15" t="n">
        <f aca="false">SUMIFS(Bedarf!$F$3:$F$85,Bedarf!$A$3:$A$85,B53,Bedarf!$E$3:$E$85,A53)</f>
        <v>122</v>
      </c>
      <c r="D53" s="16" t="n">
        <v>130</v>
      </c>
      <c r="E53" s="7" t="n">
        <f aca="false">IFERROR(INDEX(Preise!$L$3:$L$53,MATCH(A53,Preise!$A$3:$A$53,0)),"")</f>
        <v>7.21</v>
      </c>
      <c r="F53" s="10" t="n">
        <f aca="false">IF(E53="","",C53*E53/100)</f>
        <v>8.7962</v>
      </c>
      <c r="G53" s="17" t="str">
        <f aca="false">IFERROR(INDEX(Preise!$M$3:$M$53,MATCH(A53,Preise!$A$3:$A$53,0)),"")</f>
        <v/>
      </c>
    </row>
    <row r="54" customFormat="false" ht="15" hidden="false" customHeight="false" outlineLevel="0" collapsed="false">
      <c r="A54" s="8" t="s">
        <v>74</v>
      </c>
      <c r="B54" s="8" t="s">
        <v>64</v>
      </c>
      <c r="C54" s="15" t="n">
        <f aca="false">SUMIFS(Bedarf!$F$3:$F$85,Bedarf!$A$3:$A$85,B54,Bedarf!$E$3:$E$85,A54)</f>
        <v>1</v>
      </c>
      <c r="D54" s="16" t="n">
        <v>1</v>
      </c>
      <c r="E54" s="7" t="n">
        <f aca="false">IFERROR(INDEX(Preise!$L$3:$L$53,MATCH(A54,Preise!$A$3:$A$53,0)),"")</f>
        <v>8</v>
      </c>
      <c r="F54" s="10" t="n">
        <f aca="false">IF(E54="","",C54*E54/100)</f>
        <v>0.08</v>
      </c>
      <c r="G54" s="17" t="str">
        <f aca="false">IFERROR(INDEX(Preise!$M$3:$M$53,MATCH(A54,Preise!$A$3:$A$53,0)),"")</f>
        <v>dünn</v>
      </c>
    </row>
    <row r="55" customFormat="false" ht="15" hidden="false" customHeight="false" outlineLevel="0" collapsed="false">
      <c r="A55" s="8" t="s">
        <v>75</v>
      </c>
      <c r="B55" s="8" t="s">
        <v>64</v>
      </c>
      <c r="C55" s="15" t="n">
        <f aca="false">SUMIFS(Bedarf!$F$3:$F$85,Bedarf!$A$3:$A$85,B55,Bedarf!$E$3:$E$85,A55)</f>
        <v>1</v>
      </c>
      <c r="D55" s="16" t="n">
        <v>1</v>
      </c>
      <c r="E55" s="7" t="n">
        <f aca="false">IFERROR(INDEX(Preise!$L$3:$L$53,MATCH(A55,Preise!$A$3:$A$53,0)),"")</f>
        <v>304.5</v>
      </c>
      <c r="F55" s="10" t="n">
        <f aca="false">IF(E55="","",C55*E55/100)</f>
        <v>3.045</v>
      </c>
      <c r="G55" s="17" t="str">
        <f aca="false">IFERROR(INDEX(Preise!$M$3:$M$53,MATCH(A55,Preise!$A$3:$A$53,0)),"")</f>
        <v>dünn</v>
      </c>
    </row>
    <row r="56" customFormat="false" ht="15" hidden="false" customHeight="false" outlineLevel="0" collapsed="false">
      <c r="A56" s="8" t="s">
        <v>76</v>
      </c>
      <c r="B56" s="8" t="s">
        <v>64</v>
      </c>
      <c r="C56" s="15" t="n">
        <f aca="false">SUMIFS(Bedarf!$F$3:$F$85,Bedarf!$A$3:$A$85,B56,Bedarf!$E$3:$E$85,A56)</f>
        <v>2</v>
      </c>
      <c r="D56" s="16" t="n">
        <v>2</v>
      </c>
      <c r="E56" s="7" t="n">
        <f aca="false">IFERROR(INDEX(Preise!$L$3:$L$53,MATCH(A56,Preise!$A$3:$A$53,0)),"")</f>
        <v>28.54</v>
      </c>
      <c r="F56" s="10" t="n">
        <f aca="false">IF(E56="","",C56*E56/100)</f>
        <v>0.5708</v>
      </c>
      <c r="G56" s="17" t="str">
        <f aca="false">IFERROR(INDEX(Preise!$M$3:$M$53,MATCH(A56,Preise!$A$3:$A$53,0)),"")</f>
        <v/>
      </c>
    </row>
    <row r="57" customFormat="false" ht="15" hidden="false" customHeight="false" outlineLevel="0" collapsed="false">
      <c r="A57" s="8" t="s">
        <v>77</v>
      </c>
      <c r="B57" s="8" t="s">
        <v>64</v>
      </c>
      <c r="C57" s="15" t="n">
        <f aca="false">SUMIFS(Bedarf!$F$3:$F$85,Bedarf!$A$3:$A$85,B57,Bedarf!$E$3:$E$85,A57)</f>
        <v>237</v>
      </c>
      <c r="D57" s="16" t="n">
        <v>240</v>
      </c>
      <c r="E57" s="7" t="n">
        <f aca="false">IFERROR(INDEX(Preise!$L$3:$L$53,MATCH(A57,Preise!$A$3:$A$53,0)),"")</f>
        <v>19.71</v>
      </c>
      <c r="F57" s="10" t="n">
        <f aca="false">IF(E57="","",C57*E57/100)</f>
        <v>46.7127</v>
      </c>
      <c r="G57" s="17" t="str">
        <f aca="false">IFERROR(INDEX(Preise!$M$3:$M$53,MATCH(A57,Preise!$A$3:$A$53,0)),"")</f>
        <v/>
      </c>
    </row>
    <row r="58" customFormat="false" ht="15" hidden="false" customHeight="false" outlineLevel="0" collapsed="false">
      <c r="A58" s="8" t="s">
        <v>78</v>
      </c>
      <c r="B58" s="8" t="s">
        <v>64</v>
      </c>
      <c r="C58" s="15" t="n">
        <f aca="false">SUMIFS(Bedarf!$F$3:$F$85,Bedarf!$A$3:$A$85,B58,Bedarf!$E$3:$E$85,A58)</f>
        <v>1</v>
      </c>
      <c r="D58" s="16" t="n">
        <v>1</v>
      </c>
      <c r="E58" s="7" t="n">
        <f aca="false">IFERROR(INDEX(Preise!$L$3:$L$53,MATCH(A58,Preise!$A$3:$A$53,0)),"")</f>
        <v>85</v>
      </c>
      <c r="F58" s="10" t="n">
        <f aca="false">IF(E58="","",C58*E58/100)</f>
        <v>0.85</v>
      </c>
      <c r="G58" s="17" t="str">
        <f aca="false">IFERROR(INDEX(Preise!$M$3:$M$53,MATCH(A58,Preise!$A$3:$A$53,0)),"")</f>
        <v>dünn</v>
      </c>
    </row>
    <row r="59" customFormat="false" ht="15" hidden="false" customHeight="false" outlineLevel="0" collapsed="false">
      <c r="A59" s="8" t="s">
        <v>79</v>
      </c>
      <c r="B59" s="8" t="s">
        <v>64</v>
      </c>
      <c r="C59" s="15" t="n">
        <f aca="false">SUMIFS(Bedarf!$F$3:$F$85,Bedarf!$A$3:$A$85,B59,Bedarf!$E$3:$E$85,A59)</f>
        <v>1</v>
      </c>
      <c r="D59" s="16" t="n">
        <v>1</v>
      </c>
      <c r="E59" s="7" t="n">
        <f aca="false">IFERROR(INDEX(Preise!$L$3:$L$53,MATCH(A59,Preise!$A$3:$A$53,0)),"")</f>
        <v>1000</v>
      </c>
      <c r="F59" s="10" t="n">
        <f aca="false">IF(E59="","",C59*E59/100)</f>
        <v>10</v>
      </c>
      <c r="G59" s="17" t="str">
        <f aca="false">IFERROR(INDEX(Preise!$M$3:$M$53,MATCH(A59,Preise!$A$3:$A$53,0)),"")</f>
        <v>dünn</v>
      </c>
    </row>
    <row r="60" customFormat="false" ht="15" hidden="false" customHeight="false" outlineLevel="0" collapsed="false">
      <c r="A60" s="8" t="s">
        <v>80</v>
      </c>
      <c r="B60" s="8" t="s">
        <v>64</v>
      </c>
      <c r="C60" s="15" t="n">
        <f aca="false">SUMIFS(Bedarf!$F$3:$F$85,Bedarf!$A$3:$A$85,B60,Bedarf!$E$3:$E$85,A60)</f>
        <v>2</v>
      </c>
      <c r="D60" s="16" t="n">
        <v>2</v>
      </c>
      <c r="E60" s="7" t="n">
        <f aca="false">IFERROR(INDEX(Preise!$L$3:$L$53,MATCH(A60,Preise!$A$3:$A$53,0)),"")</f>
        <v>44</v>
      </c>
      <c r="F60" s="10" t="n">
        <f aca="false">IF(E60="","",C60*E60/100)</f>
        <v>0.88</v>
      </c>
      <c r="G60" s="17" t="str">
        <f aca="false">IFERROR(INDEX(Preise!$M$3:$M$53,MATCH(A60,Preise!$A$3:$A$53,0)),"")</f>
        <v/>
      </c>
    </row>
    <row r="61" customFormat="false" ht="15" hidden="false" customHeight="false" outlineLevel="0" collapsed="false">
      <c r="A61" s="8" t="s">
        <v>81</v>
      </c>
      <c r="B61" s="8" t="s">
        <v>64</v>
      </c>
      <c r="C61" s="15" t="n">
        <f aca="false">SUMIFS(Bedarf!$F$3:$F$85,Bedarf!$A$3:$A$85,B61,Bedarf!$E$3:$E$85,A61)</f>
        <v>5</v>
      </c>
      <c r="D61" s="16" t="n">
        <v>5</v>
      </c>
      <c r="E61" s="7" t="n">
        <f aca="false">IFERROR(INDEX(Preise!$L$3:$L$53,MATCH(A61,Preise!$A$3:$A$53,0)),"")</f>
        <v>268.98</v>
      </c>
      <c r="F61" s="10" t="n">
        <f aca="false">IF(E61="","",C61*E61/100)</f>
        <v>13.449</v>
      </c>
      <c r="G61" s="17" t="str">
        <f aca="false">IFERROR(INDEX(Preise!$M$3:$M$53,MATCH(A61,Preise!$A$3:$A$53,0)),"")</f>
        <v>dünn</v>
      </c>
    </row>
    <row r="62" customFormat="false" ht="15" hidden="false" customHeight="false" outlineLevel="0" collapsed="false">
      <c r="A62" s="8" t="s">
        <v>82</v>
      </c>
      <c r="B62" s="8" t="s">
        <v>64</v>
      </c>
      <c r="C62" s="15" t="n">
        <f aca="false">SUMIFS(Bedarf!$F$3:$F$85,Bedarf!$A$3:$A$85,B62,Bedarf!$E$3:$E$85,A62)</f>
        <v>360</v>
      </c>
      <c r="D62" s="16" t="n">
        <v>360</v>
      </c>
      <c r="E62" s="7" t="n">
        <f aca="false">IFERROR(INDEX(Preise!$L$3:$L$53,MATCH(A62,Preise!$A$3:$A$53,0)),"")</f>
        <v>58</v>
      </c>
      <c r="F62" s="10" t="n">
        <f aca="false">IF(E62="","",C62*E62/100)</f>
        <v>208.8</v>
      </c>
      <c r="G62" s="17" t="str">
        <f aca="false">IFERROR(INDEX(Preise!$M$3:$M$53,MATCH(A62,Preise!$A$3:$A$53,0)),"")</f>
        <v>dünn</v>
      </c>
    </row>
    <row r="63" customFormat="false" ht="15" hidden="false" customHeight="false" outlineLevel="0" collapsed="false">
      <c r="A63" s="8" t="s">
        <v>83</v>
      </c>
      <c r="B63" s="8" t="s">
        <v>64</v>
      </c>
      <c r="C63" s="15" t="n">
        <f aca="false">SUMIFS(Bedarf!$F$3:$F$85,Bedarf!$A$3:$A$85,B63,Bedarf!$E$3:$E$85,A63)</f>
        <v>40</v>
      </c>
      <c r="D63" s="16" t="n">
        <v>40</v>
      </c>
      <c r="E63" s="7" t="n">
        <f aca="false">IFERROR(INDEX(Preise!$L$3:$L$53,MATCH(A63,Preise!$A$3:$A$53,0)),"")</f>
        <v>2005</v>
      </c>
      <c r="F63" s="10" t="n">
        <f aca="false">IF(E63="","",C63*E63/100)</f>
        <v>802</v>
      </c>
      <c r="G63" s="17" t="str">
        <f aca="false">IFERROR(INDEX(Preise!$M$3:$M$53,MATCH(A63,Preise!$A$3:$A$53,0)),"")</f>
        <v>dünn</v>
      </c>
    </row>
    <row r="64" customFormat="false" ht="15" hidden="false" customHeight="false" outlineLevel="0" collapsed="false">
      <c r="A64" s="8" t="s">
        <v>84</v>
      </c>
      <c r="B64" s="8" t="s">
        <v>64</v>
      </c>
      <c r="C64" s="15" t="n">
        <f aca="false">SUMIFS(Bedarf!$F$3:$F$85,Bedarf!$A$3:$A$85,B64,Bedarf!$E$3:$E$85,A64)</f>
        <v>20</v>
      </c>
      <c r="D64" s="16" t="n">
        <v>20</v>
      </c>
      <c r="E64" s="7" t="n">
        <f aca="false">IFERROR(INDEX(Preise!$L$3:$L$53,MATCH(A64,Preise!$A$3:$A$53,0)),"")</f>
        <v>5</v>
      </c>
      <c r="F64" s="10" t="n">
        <f aca="false">IF(E64="","",C64*E64/100)</f>
        <v>1</v>
      </c>
      <c r="G64" s="17" t="str">
        <f aca="false">IFERROR(INDEX(Preise!$M$3:$M$53,MATCH(A64,Preise!$A$3:$A$53,0)),"")</f>
        <v>dünn</v>
      </c>
    </row>
    <row r="65" customFormat="false" ht="15" hidden="false" customHeight="false" outlineLevel="0" collapsed="false">
      <c r="A65" s="8" t="s">
        <v>85</v>
      </c>
      <c r="B65" s="8" t="s">
        <v>64</v>
      </c>
      <c r="C65" s="15" t="n">
        <f aca="false">SUMIFS(Bedarf!$F$3:$F$85,Bedarf!$A$3:$A$85,B65,Bedarf!$E$3:$E$85,A65)</f>
        <v>1</v>
      </c>
      <c r="D65" s="16" t="n">
        <v>1</v>
      </c>
      <c r="E65" s="7" t="str">
        <f aca="false">IFERROR(INDEX(Preise!$L$3:$L$53,MATCH(A65,Preise!$A$3:$A$53,0)),"")</f>
        <v/>
      </c>
      <c r="F65" s="10" t="str">
        <f aca="false">IF(E65="","",C65*E65/100)</f>
        <v/>
      </c>
      <c r="G65" s="17" t="str">
        <f aca="false">IFERROR(INDEX(Preise!$M$3:$M$53,MATCH(A65,Preise!$A$3:$A$53,0)),"")</f>
        <v>kein Preis</v>
      </c>
    </row>
    <row r="66" customFormat="false" ht="15" hidden="false" customHeight="false" outlineLevel="0" collapsed="false">
      <c r="A66" s="8" t="s">
        <v>86</v>
      </c>
      <c r="B66" s="8" t="s">
        <v>64</v>
      </c>
      <c r="C66" s="15" t="n">
        <f aca="false">SUMIFS(Bedarf!$F$3:$F$85,Bedarf!$A$3:$A$85,B66,Bedarf!$E$3:$E$85,A66)</f>
        <v>1</v>
      </c>
      <c r="D66" s="16" t="n">
        <v>1</v>
      </c>
      <c r="E66" s="7" t="n">
        <f aca="false">IFERROR(INDEX(Preise!$L$3:$L$53,MATCH(A66,Preise!$A$3:$A$53,0)),"")</f>
        <v>500</v>
      </c>
      <c r="F66" s="10" t="n">
        <f aca="false">IF(E66="","",C66*E66/100)</f>
        <v>5</v>
      </c>
      <c r="G66" s="17" t="str">
        <f aca="false">IFERROR(INDEX(Preise!$M$3:$M$53,MATCH(A66,Preise!$A$3:$A$53,0)),"")</f>
        <v>dünn</v>
      </c>
    </row>
    <row r="67" customFormat="false" ht="15" hidden="false" customHeight="false" outlineLevel="0" collapsed="false">
      <c r="A67" s="8" t="s">
        <v>87</v>
      </c>
      <c r="B67" s="8" t="s">
        <v>64</v>
      </c>
      <c r="C67" s="15" t="n">
        <f aca="false">SUMIFS(Bedarf!$F$3:$F$85,Bedarf!$A$3:$A$85,B67,Bedarf!$E$3:$E$85,A67)</f>
        <v>50</v>
      </c>
      <c r="D67" s="16" t="n">
        <v>82</v>
      </c>
      <c r="E67" s="7" t="n">
        <f aca="false">IFERROR(INDEX(Preise!$L$3:$L$53,MATCH(A67,Preise!$A$3:$A$53,0)),"")</f>
        <v>1000</v>
      </c>
      <c r="F67" s="10" t="n">
        <f aca="false">IF(E67="","",C67*E67/100)</f>
        <v>500</v>
      </c>
      <c r="G67" s="17" t="str">
        <f aca="false">IFERROR(INDEX(Preise!$M$3:$M$53,MATCH(A67,Preise!$A$3:$A$53,0)),"")</f>
        <v>dünn</v>
      </c>
    </row>
    <row r="68" customFormat="false" ht="15" hidden="false" customHeight="false" outlineLevel="0" collapsed="false">
      <c r="A68" s="8" t="s">
        <v>88</v>
      </c>
      <c r="B68" s="8" t="s">
        <v>64</v>
      </c>
      <c r="C68" s="15" t="n">
        <f aca="false">SUMIFS(Bedarf!$F$3:$F$85,Bedarf!$A$3:$A$85,B68,Bedarf!$E$3:$E$85,A68)</f>
        <v>4</v>
      </c>
      <c r="D68" s="16" t="s">
        <v>89</v>
      </c>
      <c r="E68" s="7" t="str">
        <f aca="false">IFERROR(INDEX(Preise!$L$3:$L$53,MATCH(A68,Preise!$A$3:$A$53,0)),"")</f>
        <v/>
      </c>
      <c r="F68" s="10" t="str">
        <f aca="false">IF(E68="","",C68*E68/100)</f>
        <v/>
      </c>
      <c r="G68" s="17" t="str">
        <f aca="false">IFERROR(INDEX(Preise!$M$3:$M$53,MATCH(A68,Preise!$A$3:$A$53,0)),"")</f>
        <v>kein Preis</v>
      </c>
    </row>
    <row r="69" customFormat="false" ht="15" hidden="false" customHeight="false" outlineLevel="0" collapsed="false">
      <c r="A69" s="8" t="s">
        <v>90</v>
      </c>
      <c r="B69" s="8" t="s">
        <v>64</v>
      </c>
      <c r="C69" s="15" t="n">
        <f aca="false">SUMIFS(Bedarf!$F$3:$F$85,Bedarf!$A$3:$A$85,B69,Bedarf!$E$3:$E$85,A69)</f>
        <v>4</v>
      </c>
      <c r="D69" s="16" t="n">
        <v>4</v>
      </c>
      <c r="E69" s="7" t="n">
        <f aca="false">IFERROR(INDEX(Preise!$L$3:$L$53,MATCH(A69,Preise!$A$3:$A$53,0)),"")</f>
        <v>488</v>
      </c>
      <c r="F69" s="10" t="n">
        <f aca="false">IF(E69="","",C69*E69/100)</f>
        <v>19.52</v>
      </c>
      <c r="G69" s="17" t="str">
        <f aca="false">IFERROR(INDEX(Preise!$M$3:$M$53,MATCH(A69,Preise!$A$3:$A$53,0)),"")</f>
        <v>dünn</v>
      </c>
    </row>
    <row r="70" customFormat="false" ht="15" hidden="false" customHeight="false" outlineLevel="0" collapsed="false">
      <c r="A70" s="8" t="s">
        <v>91</v>
      </c>
      <c r="B70" s="8" t="s">
        <v>64</v>
      </c>
      <c r="C70" s="15" t="n">
        <f aca="false">SUMIFS(Bedarf!$F$3:$F$85,Bedarf!$A$3:$A$85,B70,Bedarf!$E$3:$E$85,A70)</f>
        <v>2</v>
      </c>
      <c r="D70" s="16" t="n">
        <v>2</v>
      </c>
      <c r="E70" s="7" t="str">
        <f aca="false">IFERROR(INDEX(Preise!$L$3:$L$53,MATCH(A70,Preise!$A$3:$A$53,0)),"")</f>
        <v/>
      </c>
      <c r="F70" s="10" t="str">
        <f aca="false">IF(E70="","",C70*E70/100)</f>
        <v/>
      </c>
      <c r="G70" s="17" t="str">
        <f aca="false">IFERROR(INDEX(Preise!$M$3:$M$53,MATCH(A70,Preise!$A$3:$A$53,0)),"")</f>
        <v>kein Preis</v>
      </c>
    </row>
  </sheetData>
  <dataValidations count="2">
    <dataValidation allowBlank="false" errorStyle="stop" operator="between" showDropDown="false" showErrorMessage="false" showInputMessage="false" sqref="B4" type="list">
      <formula1>"NH,PH"</formula1>
      <formula2>0</formula2>
    </dataValidation>
    <dataValidation allowBlank="false" errorStyle="stop" operator="between" showDropDown="false" showErrorMessage="false" showInputMessage="false" sqref="B5" type="list">
      <formula1>"jetzt,30d"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7"/>
    <col collapsed="false" customWidth="true" hidden="false" outlineLevel="0" max="10" min="3" style="0" width="11"/>
    <col collapsed="false" customWidth="true" hidden="false" outlineLevel="0" max="13" min="11" style="0" width="12"/>
    <col collapsed="false" customWidth="true" hidden="false" outlineLevel="0" max="14" min="14" style="0" width="46"/>
    <col collapsed="false" customWidth="true" hidden="false" outlineLevel="0" max="15" min="15" style="0" width="50"/>
  </cols>
  <sheetData>
    <row r="1" customFormat="false" ht="15" hidden="false" customHeight="false" outlineLevel="0" collapsed="false">
      <c r="A1" s="3" t="s">
        <v>92</v>
      </c>
    </row>
    <row r="2" customFormat="false" ht="23.85" hidden="false" customHeight="false" outlineLevel="0" collapsed="false">
      <c r="A2" s="6" t="s">
        <v>37</v>
      </c>
      <c r="B2" s="6" t="s">
        <v>38</v>
      </c>
      <c r="C2" s="6" t="s">
        <v>93</v>
      </c>
      <c r="D2" s="6" t="s">
        <v>94</v>
      </c>
      <c r="E2" s="6" t="s">
        <v>95</v>
      </c>
      <c r="F2" s="6" t="s">
        <v>96</v>
      </c>
      <c r="G2" s="6" t="s">
        <v>97</v>
      </c>
      <c r="H2" s="6" t="s">
        <v>98</v>
      </c>
      <c r="I2" s="6" t="s">
        <v>99</v>
      </c>
      <c r="J2" s="6" t="s">
        <v>100</v>
      </c>
      <c r="K2" s="6" t="s">
        <v>101</v>
      </c>
      <c r="L2" s="6" t="s">
        <v>41</v>
      </c>
      <c r="M2" s="6" t="s">
        <v>43</v>
      </c>
      <c r="N2" s="6" t="s">
        <v>102</v>
      </c>
      <c r="O2" s="6" t="s">
        <v>103</v>
      </c>
    </row>
    <row r="3" customFormat="false" ht="15" hidden="false" customHeight="false" outlineLevel="0" collapsed="false">
      <c r="A3" s="8" t="s">
        <v>44</v>
      </c>
      <c r="B3" s="8" t="s">
        <v>45</v>
      </c>
      <c r="C3" s="18"/>
      <c r="D3" s="18" t="n">
        <v>0.25</v>
      </c>
      <c r="E3" s="18" t="n">
        <v>0.28</v>
      </c>
      <c r="F3" s="18" t="n">
        <v>0.28</v>
      </c>
      <c r="G3" s="18" t="n">
        <v>0.4</v>
      </c>
      <c r="H3" s="19" t="n">
        <v>2553</v>
      </c>
      <c r="I3" s="19" t="n">
        <v>4407</v>
      </c>
      <c r="J3" s="16" t="s">
        <v>104</v>
      </c>
      <c r="K3" s="20"/>
      <c r="L3" s="7" t="n">
        <f aca="false">IF(K3&lt;&gt;"",K3,IF(C3&lt;&gt;"",C3,IF(Übersicht!$B$4="NH",IF(Übersicht!$B$5="jetzt",IF(D3="","",D3),IF(F3="","",F3)),IF(Übersicht!$B$5="jetzt",IF(E3="","",E3),IF(G3="","",G3)))))</f>
        <v>0.25</v>
      </c>
      <c r="M3" s="17" t="str">
        <f aca="false">IF(L3="","kein Preis",IF(K3&lt;&gt;"","eigener Preis",IF(C3&lt;&gt;"","Händler",IF(IF(Übersicht!$B$4="NH",H3,I3)&lt;Übersicht!$B$6,"dünn",""))))</f>
        <v/>
      </c>
      <c r="N3" s="21" t="s">
        <v>105</v>
      </c>
      <c r="O3" s="8"/>
    </row>
    <row r="4" customFormat="false" ht="15" hidden="false" customHeight="false" outlineLevel="0" collapsed="false">
      <c r="A4" s="8" t="s">
        <v>46</v>
      </c>
      <c r="B4" s="8" t="s">
        <v>45</v>
      </c>
      <c r="C4" s="18"/>
      <c r="D4" s="18" t="n">
        <v>0.5</v>
      </c>
      <c r="E4" s="18" t="n">
        <v>0.68</v>
      </c>
      <c r="F4" s="18" t="n">
        <v>0.79</v>
      </c>
      <c r="G4" s="18" t="n">
        <v>1.09</v>
      </c>
      <c r="H4" s="19" t="n">
        <v>2729</v>
      </c>
      <c r="I4" s="19" t="n">
        <v>5335</v>
      </c>
      <c r="J4" s="16" t="s">
        <v>104</v>
      </c>
      <c r="K4" s="20"/>
      <c r="L4" s="7" t="n">
        <f aca="false">IF(K4&lt;&gt;"",K4,IF(C4&lt;&gt;"",C4,IF(Übersicht!$B$4="NH",IF(Übersicht!$B$5="jetzt",IF(D4="","",D4),IF(F4="","",F4)),IF(Übersicht!$B$5="jetzt",IF(E4="","",E4),IF(G4="","",G4)))))</f>
        <v>0.5</v>
      </c>
      <c r="M4" s="17" t="str">
        <f aca="false">IF(L4="","kein Preis",IF(K4&lt;&gt;"","eigener Preis",IF(C4&lt;&gt;"","Händler",IF(IF(Übersicht!$B$4="NH",H4,I4)&lt;Übersicht!$B$6,"dünn",""))))</f>
        <v/>
      </c>
      <c r="N4" s="21" t="s">
        <v>106</v>
      </c>
      <c r="O4" s="8"/>
    </row>
    <row r="5" customFormat="false" ht="15" hidden="false" customHeight="false" outlineLevel="0" collapsed="false">
      <c r="A5" s="8" t="s">
        <v>52</v>
      </c>
      <c r="B5" s="8" t="s">
        <v>45</v>
      </c>
      <c r="C5" s="18"/>
      <c r="D5" s="18" t="n">
        <v>1.91</v>
      </c>
      <c r="E5" s="18" t="n">
        <v>2.1</v>
      </c>
      <c r="F5" s="18" t="n">
        <v>2.56</v>
      </c>
      <c r="G5" s="18" t="n">
        <v>2.29</v>
      </c>
      <c r="H5" s="19" t="n">
        <v>3562</v>
      </c>
      <c r="I5" s="19" t="n">
        <v>2894</v>
      </c>
      <c r="J5" s="16" t="s">
        <v>104</v>
      </c>
      <c r="K5" s="20"/>
      <c r="L5" s="7" t="n">
        <f aca="false">IF(K5&lt;&gt;"",K5,IF(C5&lt;&gt;"",C5,IF(Übersicht!$B$4="NH",IF(Übersicht!$B$5="jetzt",IF(D5="","",D5),IF(F5="","",F5)),IF(Übersicht!$B$5="jetzt",IF(E5="","",E5),IF(G5="","",G5)))))</f>
        <v>1.91</v>
      </c>
      <c r="M5" s="17" t="str">
        <f aca="false">IF(L5="","kein Preis",IF(K5&lt;&gt;"","eigener Preis",IF(C5&lt;&gt;"","Händler",IF(IF(Übersicht!$B$4="NH",H5,I5)&lt;Übersicht!$B$6,"dünn",""))))</f>
        <v/>
      </c>
      <c r="N5" s="21" t="s">
        <v>107</v>
      </c>
      <c r="O5" s="8"/>
    </row>
    <row r="6" customFormat="false" ht="15" hidden="false" customHeight="false" outlineLevel="0" collapsed="false">
      <c r="A6" s="8" t="s">
        <v>57</v>
      </c>
      <c r="B6" s="8" t="s">
        <v>45</v>
      </c>
      <c r="C6" s="18"/>
      <c r="D6" s="18" t="n">
        <v>11.98</v>
      </c>
      <c r="E6" s="18" t="n">
        <v>11</v>
      </c>
      <c r="F6" s="18" t="n">
        <v>12.7</v>
      </c>
      <c r="G6" s="18" t="n">
        <v>12.23</v>
      </c>
      <c r="H6" s="19" t="n">
        <v>2372</v>
      </c>
      <c r="I6" s="19" t="n">
        <v>1784</v>
      </c>
      <c r="J6" s="16" t="s">
        <v>108</v>
      </c>
      <c r="K6" s="20"/>
      <c r="L6" s="7" t="n">
        <f aca="false">IF(K6&lt;&gt;"",K6,IF(C6&lt;&gt;"",C6,IF(Übersicht!$B$4="NH",IF(Übersicht!$B$5="jetzt",IF(D6="","",D6),IF(F6="","",F6)),IF(Übersicht!$B$5="jetzt",IF(E6="","",E6),IF(G6="","",G6)))))</f>
        <v>11.98</v>
      </c>
      <c r="M6" s="17" t="str">
        <f aca="false">IF(L6="","kein Preis",IF(K6&lt;&gt;"","eigener Preis",IF(C6&lt;&gt;"","Händler",IF(IF(Übersicht!$B$4="NH",H6,I6)&lt;Übersicht!$B$6,"dünn",""))))</f>
        <v/>
      </c>
      <c r="N6" s="21" t="s">
        <v>109</v>
      </c>
      <c r="O6" s="8" t="s">
        <v>110</v>
      </c>
    </row>
    <row r="7" customFormat="false" ht="15" hidden="false" customHeight="false" outlineLevel="0" collapsed="false">
      <c r="A7" s="8" t="s">
        <v>59</v>
      </c>
      <c r="B7" s="8" t="s">
        <v>45</v>
      </c>
      <c r="C7" s="18"/>
      <c r="D7" s="18" t="n">
        <v>35.79</v>
      </c>
      <c r="E7" s="18" t="n">
        <v>62</v>
      </c>
      <c r="F7" s="18" t="n">
        <v>40.2</v>
      </c>
      <c r="G7" s="18" t="n">
        <v>48.48</v>
      </c>
      <c r="H7" s="19" t="n">
        <v>348</v>
      </c>
      <c r="I7" s="19" t="n">
        <v>264</v>
      </c>
      <c r="J7" s="16" t="s">
        <v>104</v>
      </c>
      <c r="K7" s="20"/>
      <c r="L7" s="7" t="n">
        <f aca="false">IF(K7&lt;&gt;"",K7,IF(C7&lt;&gt;"",C7,IF(Übersicht!$B$4="NH",IF(Übersicht!$B$5="jetzt",IF(D7="","",D7),IF(F7="","",F7)),IF(Übersicht!$B$5="jetzt",IF(E7="","",E7),IF(G7="","",G7)))))</f>
        <v>35.79</v>
      </c>
      <c r="M7" s="17" t="str">
        <f aca="false">IF(L7="","kein Preis",IF(K7&lt;&gt;"","eigener Preis",IF(C7&lt;&gt;"","Händler",IF(IF(Übersicht!$B$4="NH",H7,I7)&lt;Übersicht!$B$6,"dünn",""))))</f>
        <v/>
      </c>
      <c r="N7" s="21" t="s">
        <v>111</v>
      </c>
      <c r="O7" s="8"/>
    </row>
    <row r="8" customFormat="false" ht="15" hidden="false" customHeight="false" outlineLevel="0" collapsed="false">
      <c r="A8" s="8" t="s">
        <v>60</v>
      </c>
      <c r="B8" s="8" t="s">
        <v>45</v>
      </c>
      <c r="C8" s="18"/>
      <c r="D8" s="18" t="n">
        <v>19.02</v>
      </c>
      <c r="E8" s="18" t="n">
        <v>5</v>
      </c>
      <c r="F8" s="18" t="n">
        <v>9.8</v>
      </c>
      <c r="G8" s="18" t="n">
        <v>7.78</v>
      </c>
      <c r="H8" s="19" t="n">
        <v>214</v>
      </c>
      <c r="I8" s="19" t="n">
        <v>135</v>
      </c>
      <c r="J8" s="16" t="s">
        <v>112</v>
      </c>
      <c r="K8" s="20"/>
      <c r="L8" s="7" t="n">
        <f aca="false">IF(K8&lt;&gt;"",K8,IF(C8&lt;&gt;"",C8,IF(Übersicht!$B$4="NH",IF(Übersicht!$B$5="jetzt",IF(D8="","",D8),IF(F8="","",F8)),IF(Übersicht!$B$5="jetzt",IF(E8="","",E8),IF(G8="","",G8)))))</f>
        <v>19.02</v>
      </c>
      <c r="M8" s="17" t="str">
        <f aca="false">IF(L8="","kein Preis",IF(K8&lt;&gt;"","eigener Preis",IF(C8&lt;&gt;"","Händler",IF(IF(Übersicht!$B$4="NH",H8,I8)&lt;Übersicht!$B$6,"dünn",""))))</f>
        <v/>
      </c>
      <c r="N8" s="21" t="s">
        <v>113</v>
      </c>
      <c r="O8" s="8" t="s">
        <v>114</v>
      </c>
    </row>
    <row r="9" customFormat="false" ht="15" hidden="false" customHeight="false" outlineLevel="0" collapsed="false">
      <c r="A9" s="8" t="s">
        <v>47</v>
      </c>
      <c r="B9" s="8" t="s">
        <v>45</v>
      </c>
      <c r="C9" s="18"/>
      <c r="D9" s="18" t="n">
        <v>0.69</v>
      </c>
      <c r="E9" s="18" t="n">
        <v>0.56</v>
      </c>
      <c r="F9" s="18" t="n">
        <v>0.78</v>
      </c>
      <c r="G9" s="18" t="n">
        <v>0.64</v>
      </c>
      <c r="H9" s="19" t="n">
        <v>189</v>
      </c>
      <c r="I9" s="19" t="n">
        <v>793</v>
      </c>
      <c r="J9" s="16" t="s">
        <v>115</v>
      </c>
      <c r="K9" s="20"/>
      <c r="L9" s="7" t="n">
        <f aca="false">IF(K9&lt;&gt;"",K9,IF(C9&lt;&gt;"",C9,IF(Übersicht!$B$4="NH",IF(Übersicht!$B$5="jetzt",IF(D9="","",D9),IF(F9="","",F9)),IF(Übersicht!$B$5="jetzt",IF(E9="","",E9),IF(G9="","",G9)))))</f>
        <v>0.69</v>
      </c>
      <c r="M9" s="17" t="str">
        <f aca="false">IF(L9="","kein Preis",IF(K9&lt;&gt;"","eigener Preis",IF(C9&lt;&gt;"","Händler",IF(IF(Übersicht!$B$4="NH",H9,I9)&lt;Übersicht!$B$6,"dünn",""))))</f>
        <v/>
      </c>
      <c r="N9" s="21" t="s">
        <v>116</v>
      </c>
      <c r="O9" s="8"/>
    </row>
    <row r="10" customFormat="false" ht="15" hidden="false" customHeight="false" outlineLevel="0" collapsed="false">
      <c r="A10" s="8" t="s">
        <v>51</v>
      </c>
      <c r="B10" s="8" t="s">
        <v>45</v>
      </c>
      <c r="C10" s="18"/>
      <c r="D10" s="18" t="n">
        <v>8.88</v>
      </c>
      <c r="E10" s="18" t="n">
        <v>7.32</v>
      </c>
      <c r="F10" s="18" t="n">
        <v>9.12</v>
      </c>
      <c r="G10" s="18" t="n">
        <v>7.78</v>
      </c>
      <c r="H10" s="19" t="n">
        <v>221</v>
      </c>
      <c r="I10" s="19" t="n">
        <v>667</v>
      </c>
      <c r="J10" s="16" t="s">
        <v>117</v>
      </c>
      <c r="K10" s="20"/>
      <c r="L10" s="7" t="n">
        <f aca="false">IF(K10&lt;&gt;"",K10,IF(C10&lt;&gt;"",C10,IF(Übersicht!$B$4="NH",IF(Übersicht!$B$5="jetzt",IF(D10="","",D10),IF(F10="","",F10)),IF(Übersicht!$B$5="jetzt",IF(E10="","",E10),IF(G10="","",G10)))))</f>
        <v>8.88</v>
      </c>
      <c r="M10" s="17" t="str">
        <f aca="false">IF(L10="","kein Preis",IF(K10&lt;&gt;"","eigener Preis",IF(C10&lt;&gt;"","Händler",IF(IF(Übersicht!$B$4="NH",H10,I10)&lt;Übersicht!$B$6,"dünn",""))))</f>
        <v/>
      </c>
      <c r="N10" s="21" t="s">
        <v>118</v>
      </c>
      <c r="O10" s="8"/>
    </row>
    <row r="11" customFormat="false" ht="15" hidden="false" customHeight="false" outlineLevel="0" collapsed="false">
      <c r="A11" s="8" t="s">
        <v>55</v>
      </c>
      <c r="B11" s="8" t="s">
        <v>45</v>
      </c>
      <c r="C11" s="18"/>
      <c r="D11" s="18" t="n">
        <v>35.4</v>
      </c>
      <c r="E11" s="18" t="n">
        <v>30.69</v>
      </c>
      <c r="F11" s="18" t="n">
        <v>96.75</v>
      </c>
      <c r="G11" s="18" t="n">
        <v>72.99</v>
      </c>
      <c r="H11" s="19" t="n">
        <v>231</v>
      </c>
      <c r="I11" s="19" t="n">
        <v>279</v>
      </c>
      <c r="J11" s="16" t="s">
        <v>108</v>
      </c>
      <c r="K11" s="20"/>
      <c r="L11" s="7" t="n">
        <f aca="false">IF(K11&lt;&gt;"",K11,IF(C11&lt;&gt;"",C11,IF(Übersicht!$B$4="NH",IF(Übersicht!$B$5="jetzt",IF(D11="","",D11),IF(F11="","",F11)),IF(Übersicht!$B$5="jetzt",IF(E11="","",E11),IF(G11="","",G11)))))</f>
        <v>35.4</v>
      </c>
      <c r="M11" s="17" t="str">
        <f aca="false">IF(L11="","kein Preis",IF(K11&lt;&gt;"","eigener Preis",IF(C11&lt;&gt;"","Händler",IF(IF(Übersicht!$B$4="NH",H11,I11)&lt;Übersicht!$B$6,"dünn",""))))</f>
        <v/>
      </c>
      <c r="N11" s="21" t="s">
        <v>119</v>
      </c>
      <c r="O11" s="8"/>
    </row>
    <row r="12" customFormat="false" ht="15" hidden="false" customHeight="false" outlineLevel="0" collapsed="false">
      <c r="A12" s="8" t="s">
        <v>48</v>
      </c>
      <c r="B12" s="8" t="s">
        <v>45</v>
      </c>
      <c r="C12" s="18" t="n">
        <v>0.5</v>
      </c>
      <c r="D12" s="18" t="n">
        <v>1</v>
      </c>
      <c r="E12" s="18" t="n">
        <v>0.7</v>
      </c>
      <c r="F12" s="18" t="n">
        <v>0.82</v>
      </c>
      <c r="G12" s="18" t="n">
        <v>0.82</v>
      </c>
      <c r="H12" s="19" t="n">
        <v>64</v>
      </c>
      <c r="I12" s="19" t="n">
        <v>493</v>
      </c>
      <c r="J12" s="16" t="s">
        <v>112</v>
      </c>
      <c r="K12" s="20"/>
      <c r="L12" s="7" t="n">
        <f aca="false">IF(K12&lt;&gt;"",K12,IF(C12&lt;&gt;"",C12,IF(Übersicht!$B$4="NH",IF(Übersicht!$B$5="jetzt",IF(D12="","",D12),IF(F12="","",F12)),IF(Übersicht!$B$5="jetzt",IF(E12="","",E12),IF(G12="","",G12)))))</f>
        <v>0.5</v>
      </c>
      <c r="M12" s="17" t="str">
        <f aca="false">IF(L12="","kein Preis",IF(K12&lt;&gt;"","eigener Preis",IF(C12&lt;&gt;"","Händler",IF(IF(Übersicht!$B$4="NH",H12,I12)&lt;Übersicht!$B$6,"dünn",""))))</f>
        <v>Händler</v>
      </c>
      <c r="N12" s="21" t="s">
        <v>120</v>
      </c>
      <c r="O12" s="8" t="s">
        <v>121</v>
      </c>
    </row>
    <row r="13" customFormat="false" ht="15" hidden="false" customHeight="false" outlineLevel="0" collapsed="false">
      <c r="A13" s="8" t="s">
        <v>50</v>
      </c>
      <c r="B13" s="8" t="s">
        <v>45</v>
      </c>
      <c r="C13" s="18" t="n">
        <v>0.1</v>
      </c>
      <c r="D13" s="18" t="n">
        <v>0.17</v>
      </c>
      <c r="E13" s="18" t="n">
        <v>0.22</v>
      </c>
      <c r="F13" s="18" t="n">
        <v>0.34</v>
      </c>
      <c r="G13" s="18" t="n">
        <v>0.34</v>
      </c>
      <c r="H13" s="19" t="n">
        <v>1596</v>
      </c>
      <c r="I13" s="19" t="n">
        <v>1796</v>
      </c>
      <c r="J13" s="16" t="s">
        <v>104</v>
      </c>
      <c r="K13" s="20"/>
      <c r="L13" s="7" t="n">
        <f aca="false">IF(K13&lt;&gt;"",K13,IF(C13&lt;&gt;"",C13,IF(Übersicht!$B$4="NH",IF(Übersicht!$B$5="jetzt",IF(D13="","",D13),IF(F13="","",F13)),IF(Übersicht!$B$5="jetzt",IF(E13="","",E13),IF(G13="","",G13)))))</f>
        <v>0.1</v>
      </c>
      <c r="M13" s="17" t="str">
        <f aca="false">IF(L13="","kein Preis",IF(K13&lt;&gt;"","eigener Preis",IF(C13&lt;&gt;"","Händler",IF(IF(Übersicht!$B$4="NH",H13,I13)&lt;Übersicht!$B$6,"dünn",""))))</f>
        <v>Händler</v>
      </c>
      <c r="N13" s="21" t="s">
        <v>122</v>
      </c>
      <c r="O13" s="8" t="s">
        <v>123</v>
      </c>
    </row>
    <row r="14" customFormat="false" ht="15" hidden="false" customHeight="false" outlineLevel="0" collapsed="false">
      <c r="A14" s="8" t="s">
        <v>53</v>
      </c>
      <c r="B14" s="8" t="s">
        <v>45</v>
      </c>
      <c r="C14" s="18" t="n">
        <v>1</v>
      </c>
      <c r="D14" s="18" t="n">
        <v>1.87</v>
      </c>
      <c r="E14" s="18" t="n">
        <v>1.48</v>
      </c>
      <c r="F14" s="18" t="n">
        <v>1.55</v>
      </c>
      <c r="G14" s="18" t="n">
        <v>1.44</v>
      </c>
      <c r="H14" s="19" t="n">
        <v>163</v>
      </c>
      <c r="I14" s="19" t="n">
        <v>1126</v>
      </c>
      <c r="J14" s="16" t="s">
        <v>124</v>
      </c>
      <c r="K14" s="20"/>
      <c r="L14" s="7" t="n">
        <f aca="false">IF(K14&lt;&gt;"",K14,IF(C14&lt;&gt;"",C14,IF(Übersicht!$B$4="NH",IF(Übersicht!$B$5="jetzt",IF(D14="","",D14),IF(F14="","",F14)),IF(Übersicht!$B$5="jetzt",IF(E14="","",E14),IF(G14="","",G14)))))</f>
        <v>1</v>
      </c>
      <c r="M14" s="17" t="str">
        <f aca="false">IF(L14="","kein Preis",IF(K14&lt;&gt;"","eigener Preis",IF(C14&lt;&gt;"","Händler",IF(IF(Übersicht!$B$4="NH",H14,I14)&lt;Übersicht!$B$6,"dünn",""))))</f>
        <v>Händler</v>
      </c>
      <c r="N14" s="21" t="s">
        <v>125</v>
      </c>
      <c r="O14" s="8" t="s">
        <v>126</v>
      </c>
    </row>
    <row r="15" customFormat="false" ht="15" hidden="false" customHeight="false" outlineLevel="0" collapsed="false">
      <c r="A15" s="8" t="s">
        <v>58</v>
      </c>
      <c r="B15" s="8" t="s">
        <v>45</v>
      </c>
      <c r="C15" s="18" t="n">
        <v>5</v>
      </c>
      <c r="D15" s="18" t="n">
        <v>10</v>
      </c>
      <c r="E15" s="18" t="n">
        <v>8.5</v>
      </c>
      <c r="F15" s="18" t="n">
        <v>10</v>
      </c>
      <c r="G15" s="18" t="n">
        <v>8.52</v>
      </c>
      <c r="H15" s="19" t="n">
        <v>22</v>
      </c>
      <c r="I15" s="19" t="n">
        <v>48</v>
      </c>
      <c r="J15" s="16" t="s">
        <v>127</v>
      </c>
      <c r="K15" s="20"/>
      <c r="L15" s="7" t="n">
        <f aca="false">IF(K15&lt;&gt;"",K15,IF(C15&lt;&gt;"",C15,IF(Übersicht!$B$4="NH",IF(Übersicht!$B$5="jetzt",IF(D15="","",D15),IF(F15="","",F15)),IF(Übersicht!$B$5="jetzt",IF(E15="","",E15),IF(G15="","",G15)))))</f>
        <v>5</v>
      </c>
      <c r="M15" s="17" t="str">
        <f aca="false">IF(L15="","kein Preis",IF(K15&lt;&gt;"","eigener Preis",IF(C15&lt;&gt;"","Händler",IF(IF(Übersicht!$B$4="NH",H15,I15)&lt;Übersicht!$B$6,"dünn",""))))</f>
        <v>Händler</v>
      </c>
      <c r="N15" s="21" t="s">
        <v>128</v>
      </c>
      <c r="O15" s="8" t="s">
        <v>129</v>
      </c>
    </row>
    <row r="16" customFormat="false" ht="15" hidden="false" customHeight="false" outlineLevel="0" collapsed="false">
      <c r="A16" s="8" t="s">
        <v>62</v>
      </c>
      <c r="B16" s="8" t="s">
        <v>45</v>
      </c>
      <c r="C16" s="18" t="n">
        <v>50</v>
      </c>
      <c r="D16" s="18"/>
      <c r="E16" s="18" t="n">
        <v>99.99</v>
      </c>
      <c r="F16" s="18" t="n">
        <v>19</v>
      </c>
      <c r="G16" s="18" t="n">
        <v>63</v>
      </c>
      <c r="H16" s="19" t="n">
        <v>0</v>
      </c>
      <c r="I16" s="19" t="n">
        <v>1</v>
      </c>
      <c r="J16" s="16" t="s">
        <v>112</v>
      </c>
      <c r="K16" s="20"/>
      <c r="L16" s="7" t="n">
        <f aca="false">IF(K16&lt;&gt;"",K16,IF(C16&lt;&gt;"",C16,IF(Übersicht!$B$4="NH",IF(Übersicht!$B$5="jetzt",IF(D16="","",D16),IF(F16="","",F16)),IF(Übersicht!$B$5="jetzt",IF(E16="","",E16),IF(G16="","",G16)))))</f>
        <v>50</v>
      </c>
      <c r="M16" s="17" t="str">
        <f aca="false">IF(L16="","kein Preis",IF(K16&lt;&gt;"","eigener Preis",IF(C16&lt;&gt;"","Händler",IF(IF(Übersicht!$B$4="NH",H16,I16)&lt;Übersicht!$B$6,"dünn",""))))</f>
        <v>Händler</v>
      </c>
      <c r="N16" s="21" t="s">
        <v>130</v>
      </c>
      <c r="O16" s="8" t="s">
        <v>121</v>
      </c>
    </row>
    <row r="17" customFormat="false" ht="15" hidden="false" customHeight="false" outlineLevel="0" collapsed="false">
      <c r="A17" s="8" t="s">
        <v>54</v>
      </c>
      <c r="B17" s="8" t="s">
        <v>45</v>
      </c>
      <c r="C17" s="18" t="n">
        <v>3.5</v>
      </c>
      <c r="D17" s="18" t="n">
        <v>4.69</v>
      </c>
      <c r="E17" s="18" t="n">
        <v>2.99</v>
      </c>
      <c r="F17" s="18" t="n">
        <v>6.16</v>
      </c>
      <c r="G17" s="18" t="n">
        <v>5.54</v>
      </c>
      <c r="H17" s="19" t="n">
        <v>28</v>
      </c>
      <c r="I17" s="19" t="n">
        <v>20</v>
      </c>
      <c r="J17" s="16" t="s">
        <v>112</v>
      </c>
      <c r="K17" s="20"/>
      <c r="L17" s="7" t="n">
        <f aca="false">IF(K17&lt;&gt;"",K17,IF(C17&lt;&gt;"",C17,IF(Übersicht!$B$4="NH",IF(Übersicht!$B$5="jetzt",IF(D17="","",D17),IF(F17="","",F17)),IF(Übersicht!$B$5="jetzt",IF(E17="","",E17),IF(G17="","",G17)))))</f>
        <v>3.5</v>
      </c>
      <c r="M17" s="17" t="str">
        <f aca="false">IF(L17="","kein Preis",IF(K17&lt;&gt;"","eigener Preis",IF(C17&lt;&gt;"","Händler",IF(IF(Übersicht!$B$4="NH",H17,I17)&lt;Übersicht!$B$6,"dünn",""))))</f>
        <v>Händler</v>
      </c>
      <c r="N17" s="21" t="s">
        <v>131</v>
      </c>
      <c r="O17" s="8" t="s">
        <v>121</v>
      </c>
    </row>
    <row r="18" customFormat="false" ht="15" hidden="false" customHeight="false" outlineLevel="0" collapsed="false">
      <c r="A18" s="8" t="s">
        <v>61</v>
      </c>
      <c r="B18" s="8" t="s">
        <v>45</v>
      </c>
      <c r="C18" s="18" t="n">
        <v>10</v>
      </c>
      <c r="D18" s="18" t="n">
        <v>20</v>
      </c>
      <c r="E18" s="18" t="n">
        <v>24</v>
      </c>
      <c r="F18" s="18" t="n">
        <v>5.7</v>
      </c>
      <c r="G18" s="18" t="n">
        <v>8</v>
      </c>
      <c r="H18" s="19" t="n">
        <v>20</v>
      </c>
      <c r="I18" s="19" t="n">
        <v>21</v>
      </c>
      <c r="J18" s="16" t="s">
        <v>112</v>
      </c>
      <c r="K18" s="20"/>
      <c r="L18" s="7" t="n">
        <f aca="false">IF(K18&lt;&gt;"",K18,IF(C18&lt;&gt;"",C18,IF(Übersicht!$B$4="NH",IF(Übersicht!$B$5="jetzt",IF(D18="","",D18),IF(F18="","",F18)),IF(Übersicht!$B$5="jetzt",IF(E18="","",E18),IF(G18="","",G18)))))</f>
        <v>10</v>
      </c>
      <c r="M18" s="17" t="str">
        <f aca="false">IF(L18="","kein Preis",IF(K18&lt;&gt;"","eigener Preis",IF(C18&lt;&gt;"","Händler",IF(IF(Übersicht!$B$4="NH",H18,I18)&lt;Übersicht!$B$6,"dünn",""))))</f>
        <v>Händler</v>
      </c>
      <c r="N18" s="21" t="s">
        <v>132</v>
      </c>
      <c r="O18" s="8" t="s">
        <v>121</v>
      </c>
    </row>
    <row r="19" customFormat="false" ht="15" hidden="false" customHeight="false" outlineLevel="0" collapsed="false">
      <c r="A19" s="8" t="s">
        <v>65</v>
      </c>
      <c r="B19" s="8" t="s">
        <v>64</v>
      </c>
      <c r="C19" s="18"/>
      <c r="D19" s="18" t="n">
        <v>0.84</v>
      </c>
      <c r="E19" s="18" t="n">
        <v>0.65</v>
      </c>
      <c r="F19" s="18" t="n">
        <v>2.42</v>
      </c>
      <c r="G19" s="18" t="n">
        <v>2.53</v>
      </c>
      <c r="H19" s="19" t="n">
        <v>7166</v>
      </c>
      <c r="I19" s="19" t="n">
        <v>3403</v>
      </c>
      <c r="J19" s="16" t="s">
        <v>104</v>
      </c>
      <c r="K19" s="20"/>
      <c r="L19" s="7" t="n">
        <f aca="false">IF(K19&lt;&gt;"",K19,IF(C19&lt;&gt;"",C19,IF(Übersicht!$B$4="NH",IF(Übersicht!$B$5="jetzt",IF(D19="","",D19),IF(F19="","",F19)),IF(Übersicht!$B$5="jetzt",IF(E19="","",E19),IF(G19="","",G19)))))</f>
        <v>0.84</v>
      </c>
      <c r="M19" s="17" t="str">
        <f aca="false">IF(L19="","kein Preis",IF(K19&lt;&gt;"","eigener Preis",IF(C19&lt;&gt;"","Händler",IF(IF(Übersicht!$B$4="NH",H19,I19)&lt;Übersicht!$B$6,"dünn",""))))</f>
        <v/>
      </c>
      <c r="N19" s="21" t="s">
        <v>133</v>
      </c>
      <c r="O19" s="8"/>
    </row>
    <row r="20" customFormat="false" ht="15" hidden="false" customHeight="false" outlineLevel="0" collapsed="false">
      <c r="A20" s="8" t="s">
        <v>73</v>
      </c>
      <c r="B20" s="8" t="s">
        <v>64</v>
      </c>
      <c r="C20" s="18"/>
      <c r="D20" s="18" t="n">
        <v>7.21</v>
      </c>
      <c r="E20" s="18" t="n">
        <v>5.8</v>
      </c>
      <c r="F20" s="18" t="n">
        <v>8.53</v>
      </c>
      <c r="G20" s="18" t="n">
        <v>9.04</v>
      </c>
      <c r="H20" s="19" t="n">
        <v>1555</v>
      </c>
      <c r="I20" s="19" t="n">
        <v>2780</v>
      </c>
      <c r="J20" s="16" t="s">
        <v>104</v>
      </c>
      <c r="K20" s="20"/>
      <c r="L20" s="7" t="n">
        <f aca="false">IF(K20&lt;&gt;"",K20,IF(C20&lt;&gt;"",C20,IF(Übersicht!$B$4="NH",IF(Übersicht!$B$5="jetzt",IF(D20="","",D20),IF(F20="","",F20)),IF(Übersicht!$B$5="jetzt",IF(E20="","",E20),IF(G20="","",G20)))))</f>
        <v>7.21</v>
      </c>
      <c r="M20" s="17" t="str">
        <f aca="false">IF(L20="","kein Preis",IF(K20&lt;&gt;"","eigener Preis",IF(C20&lt;&gt;"","Händler",IF(IF(Übersicht!$B$4="NH",H20,I20)&lt;Übersicht!$B$6,"dünn",""))))</f>
        <v/>
      </c>
      <c r="N20" s="21" t="s">
        <v>134</v>
      </c>
      <c r="O20" s="8"/>
    </row>
    <row r="21" customFormat="false" ht="15" hidden="false" customHeight="false" outlineLevel="0" collapsed="false">
      <c r="A21" s="8" t="s">
        <v>77</v>
      </c>
      <c r="B21" s="8" t="s">
        <v>64</v>
      </c>
      <c r="C21" s="18"/>
      <c r="D21" s="18" t="n">
        <v>19.71</v>
      </c>
      <c r="E21" s="18" t="n">
        <v>24.49</v>
      </c>
      <c r="F21" s="18" t="n">
        <v>37.3</v>
      </c>
      <c r="G21" s="18" t="n">
        <v>45.98</v>
      </c>
      <c r="H21" s="19" t="n">
        <v>637</v>
      </c>
      <c r="I21" s="19" t="n">
        <v>738</v>
      </c>
      <c r="J21" s="16" t="s">
        <v>104</v>
      </c>
      <c r="K21" s="20"/>
      <c r="L21" s="7" t="n">
        <f aca="false">IF(K21&lt;&gt;"",K21,IF(C21&lt;&gt;"",C21,IF(Übersicht!$B$4="NH",IF(Übersicht!$B$5="jetzt",IF(D21="","",D21),IF(F21="","",F21)),IF(Übersicht!$B$5="jetzt",IF(E21="","",E21),IF(G21="","",G21)))))</f>
        <v>19.71</v>
      </c>
      <c r="M21" s="17" t="str">
        <f aca="false">IF(L21="","kein Preis",IF(K21&lt;&gt;"","eigener Preis",IF(C21&lt;&gt;"","Händler",IF(IF(Übersicht!$B$4="NH",H21,I21)&lt;Übersicht!$B$6,"dünn",""))))</f>
        <v/>
      </c>
      <c r="N21" s="21" t="s">
        <v>135</v>
      </c>
      <c r="O21" s="8"/>
    </row>
    <row r="22" customFormat="false" ht="15" hidden="false" customHeight="false" outlineLevel="0" collapsed="false">
      <c r="A22" s="8" t="s">
        <v>82</v>
      </c>
      <c r="B22" s="8" t="s">
        <v>64</v>
      </c>
      <c r="C22" s="18"/>
      <c r="D22" s="18" t="n">
        <v>58</v>
      </c>
      <c r="E22" s="18" t="n">
        <v>48.55</v>
      </c>
      <c r="F22" s="18" t="n">
        <v>46.43</v>
      </c>
      <c r="G22" s="18" t="n">
        <v>65.44</v>
      </c>
      <c r="H22" s="19" t="n">
        <v>47</v>
      </c>
      <c r="I22" s="19" t="n">
        <v>592</v>
      </c>
      <c r="J22" s="16" t="s">
        <v>104</v>
      </c>
      <c r="K22" s="20"/>
      <c r="L22" s="7" t="n">
        <f aca="false">IF(K22&lt;&gt;"",K22,IF(C22&lt;&gt;"",C22,IF(Übersicht!$B$4="NH",IF(Übersicht!$B$5="jetzt",IF(D22="","",D22),IF(F22="","",F22)),IF(Übersicht!$B$5="jetzt",IF(E22="","",E22),IF(G22="","",G22)))))</f>
        <v>58</v>
      </c>
      <c r="M22" s="17" t="str">
        <f aca="false">IF(L22="","kein Preis",IF(K22&lt;&gt;"","eigener Preis",IF(C22&lt;&gt;"","Händler",IF(IF(Übersicht!$B$4="NH",H22,I22)&lt;Übersicht!$B$6,"dünn",""))))</f>
        <v>dünn</v>
      </c>
      <c r="N22" s="21" t="s">
        <v>136</v>
      </c>
      <c r="O22" s="8"/>
    </row>
    <row r="23" customFormat="false" ht="15" hidden="false" customHeight="false" outlineLevel="0" collapsed="false">
      <c r="A23" s="8" t="s">
        <v>87</v>
      </c>
      <c r="B23" s="8" t="s">
        <v>64</v>
      </c>
      <c r="C23" s="18"/>
      <c r="D23" s="18" t="n">
        <v>1000</v>
      </c>
      <c r="E23" s="18"/>
      <c r="F23" s="18" t="n">
        <v>1000</v>
      </c>
      <c r="G23" s="18" t="n">
        <v>481</v>
      </c>
      <c r="H23" s="19" t="n">
        <v>2</v>
      </c>
      <c r="I23" s="19" t="n">
        <v>0</v>
      </c>
      <c r="J23" s="16" t="s">
        <v>104</v>
      </c>
      <c r="K23" s="20"/>
      <c r="L23" s="7" t="n">
        <f aca="false">IF(K23&lt;&gt;"",K23,IF(C23&lt;&gt;"",C23,IF(Übersicht!$B$4="NH",IF(Übersicht!$B$5="jetzt",IF(D23="","",D23),IF(F23="","",F23)),IF(Übersicht!$B$5="jetzt",IF(E23="","",E23),IF(G23="","",G23)))))</f>
        <v>1000</v>
      </c>
      <c r="M23" s="17" t="str">
        <f aca="false">IF(L23="","kein Preis",IF(K23&lt;&gt;"","eigener Preis",IF(C23&lt;&gt;"","Händler",IF(IF(Übersicht!$B$4="NH",H23,I23)&lt;Übersicht!$B$6,"dünn",""))))</f>
        <v>dünn</v>
      </c>
      <c r="N23" s="21" t="s">
        <v>137</v>
      </c>
      <c r="O23" s="8" t="s">
        <v>138</v>
      </c>
    </row>
    <row r="24" customFormat="false" ht="15" hidden="false" customHeight="false" outlineLevel="0" collapsed="false">
      <c r="A24" s="8" t="s">
        <v>66</v>
      </c>
      <c r="B24" s="8" t="s">
        <v>64</v>
      </c>
      <c r="C24" s="18"/>
      <c r="D24" s="18" t="n">
        <v>0.69</v>
      </c>
      <c r="E24" s="18" t="n">
        <v>3.9</v>
      </c>
      <c r="F24" s="18" t="n">
        <v>7.35</v>
      </c>
      <c r="G24" s="18" t="n">
        <v>7.3</v>
      </c>
      <c r="H24" s="19" t="n">
        <v>2563</v>
      </c>
      <c r="I24" s="19" t="n">
        <v>18247</v>
      </c>
      <c r="J24" s="16" t="s">
        <v>124</v>
      </c>
      <c r="K24" s="20"/>
      <c r="L24" s="7" t="n">
        <f aca="false">IF(K24&lt;&gt;"",K24,IF(C24&lt;&gt;"",C24,IF(Übersicht!$B$4="NH",IF(Übersicht!$B$5="jetzt",IF(D24="","",D24),IF(F24="","",F24)),IF(Übersicht!$B$5="jetzt",IF(E24="","",E24),IF(G24="","",G24)))))</f>
        <v>0.69</v>
      </c>
      <c r="M24" s="17" t="str">
        <f aca="false">IF(L24="","kein Preis",IF(K24&lt;&gt;"","eigener Preis",IF(C24&lt;&gt;"","Händler",IF(IF(Übersicht!$B$4="NH",H24,I24)&lt;Übersicht!$B$6,"dünn",""))))</f>
        <v/>
      </c>
      <c r="N24" s="21" t="s">
        <v>139</v>
      </c>
      <c r="O24" s="8"/>
    </row>
    <row r="25" customFormat="false" ht="15" hidden="false" customHeight="false" outlineLevel="0" collapsed="false">
      <c r="A25" s="8" t="s">
        <v>68</v>
      </c>
      <c r="B25" s="8" t="s">
        <v>64</v>
      </c>
      <c r="C25" s="18"/>
      <c r="D25" s="18" t="n">
        <v>1.96</v>
      </c>
      <c r="E25" s="18" t="n">
        <v>1.89</v>
      </c>
      <c r="F25" s="18" t="n">
        <v>21.58</v>
      </c>
      <c r="G25" s="18" t="n">
        <v>21.36</v>
      </c>
      <c r="H25" s="19" t="n">
        <v>898</v>
      </c>
      <c r="I25" s="19" t="n">
        <v>424</v>
      </c>
      <c r="J25" s="16" t="s">
        <v>115</v>
      </c>
      <c r="K25" s="20"/>
      <c r="L25" s="7" t="n">
        <f aca="false">IF(K25&lt;&gt;"",K25,IF(C25&lt;&gt;"",C25,IF(Übersicht!$B$4="NH",IF(Übersicht!$B$5="jetzt",IF(D25="","",D25),IF(F25="","",F25)),IF(Übersicht!$B$5="jetzt",IF(E25="","",E25),IF(G25="","",G25)))))</f>
        <v>1.96</v>
      </c>
      <c r="M25" s="17" t="str">
        <f aca="false">IF(L25="","kein Preis",IF(K25&lt;&gt;"","eigener Preis",IF(C25&lt;&gt;"","Händler",IF(IF(Übersicht!$B$4="NH",H25,I25)&lt;Übersicht!$B$6,"dünn",""))))</f>
        <v/>
      </c>
      <c r="N25" s="21" t="s">
        <v>140</v>
      </c>
      <c r="O25" s="8"/>
    </row>
    <row r="26" customFormat="false" ht="15" hidden="false" customHeight="false" outlineLevel="0" collapsed="false">
      <c r="A26" s="8" t="s">
        <v>72</v>
      </c>
      <c r="B26" s="8" t="s">
        <v>64</v>
      </c>
      <c r="C26" s="18"/>
      <c r="D26" s="18" t="n">
        <v>6.04</v>
      </c>
      <c r="E26" s="18" t="n">
        <v>5.79</v>
      </c>
      <c r="F26" s="18" t="n">
        <v>9.42</v>
      </c>
      <c r="G26" s="18" t="n">
        <v>8.11</v>
      </c>
      <c r="H26" s="19" t="n">
        <v>681</v>
      </c>
      <c r="I26" s="19" t="n">
        <v>404</v>
      </c>
      <c r="J26" s="16" t="s">
        <v>117</v>
      </c>
      <c r="K26" s="20"/>
      <c r="L26" s="7" t="n">
        <f aca="false">IF(K26&lt;&gt;"",K26,IF(C26&lt;&gt;"",C26,IF(Übersicht!$B$4="NH",IF(Übersicht!$B$5="jetzt",IF(D26="","",D26),IF(F26="","",F26)),IF(Übersicht!$B$5="jetzt",IF(E26="","",E26),IF(G26="","",G26)))))</f>
        <v>6.04</v>
      </c>
      <c r="M26" s="17" t="str">
        <f aca="false">IF(L26="","kein Preis",IF(K26&lt;&gt;"","eigener Preis",IF(C26&lt;&gt;"","Händler",IF(IF(Übersicht!$B$4="NH",H26,I26)&lt;Übersicht!$B$6,"dünn",""))))</f>
        <v/>
      </c>
      <c r="N26" s="21" t="s">
        <v>141</v>
      </c>
      <c r="O26" s="8"/>
    </row>
    <row r="27" customFormat="false" ht="15" hidden="false" customHeight="false" outlineLevel="0" collapsed="false">
      <c r="A27" s="8" t="s">
        <v>76</v>
      </c>
      <c r="B27" s="8" t="s">
        <v>64</v>
      </c>
      <c r="C27" s="18"/>
      <c r="D27" s="18" t="n">
        <v>28.54</v>
      </c>
      <c r="E27" s="18" t="n">
        <v>29.99</v>
      </c>
      <c r="F27" s="18" t="n">
        <v>36.7</v>
      </c>
      <c r="G27" s="18" t="n">
        <v>30.33</v>
      </c>
      <c r="H27" s="19" t="n">
        <v>137</v>
      </c>
      <c r="I27" s="19" t="n">
        <v>102</v>
      </c>
      <c r="J27" s="16" t="s">
        <v>127</v>
      </c>
      <c r="K27" s="20"/>
      <c r="L27" s="7" t="n">
        <f aca="false">IF(K27&lt;&gt;"",K27,IF(C27&lt;&gt;"",C27,IF(Übersicht!$B$4="NH",IF(Übersicht!$B$5="jetzt",IF(D27="","",D27),IF(F27="","",F27)),IF(Übersicht!$B$5="jetzt",IF(E27="","",E27),IF(G27="","",G27)))))</f>
        <v>28.54</v>
      </c>
      <c r="M27" s="17" t="str">
        <f aca="false">IF(L27="","kein Preis",IF(K27&lt;&gt;"","eigener Preis",IF(C27&lt;&gt;"","Händler",IF(IF(Übersicht!$B$4="NH",H27,I27)&lt;Übersicht!$B$6,"dünn",""))))</f>
        <v/>
      </c>
      <c r="N27" s="21" t="s">
        <v>142</v>
      </c>
      <c r="O27" s="8"/>
    </row>
    <row r="28" customFormat="false" ht="15" hidden="false" customHeight="false" outlineLevel="0" collapsed="false">
      <c r="A28" s="8" t="s">
        <v>143</v>
      </c>
      <c r="B28" s="8" t="s">
        <v>64</v>
      </c>
      <c r="C28" s="18"/>
      <c r="D28" s="18" t="n">
        <v>15.96</v>
      </c>
      <c r="E28" s="18" t="n">
        <v>10.99</v>
      </c>
      <c r="F28" s="18" t="n">
        <v>62.09</v>
      </c>
      <c r="G28" s="18" t="n">
        <v>33.56</v>
      </c>
      <c r="H28" s="19" t="n">
        <v>122</v>
      </c>
      <c r="I28" s="19" t="n">
        <v>713</v>
      </c>
      <c r="J28" s="16" t="s">
        <v>104</v>
      </c>
      <c r="K28" s="20"/>
      <c r="L28" s="7" t="n">
        <f aca="false">IF(K28&lt;&gt;"",K28,IF(C28&lt;&gt;"",C28,IF(Übersicht!$B$4="NH",IF(Übersicht!$B$5="jetzt",IF(D28="","",D28),IF(F28="","",F28)),IF(Übersicht!$B$5="jetzt",IF(E28="","",E28),IF(G28="","",G28)))))</f>
        <v>15.96</v>
      </c>
      <c r="M28" s="17" t="str">
        <f aca="false">IF(L28="","kein Preis",IF(K28&lt;&gt;"","eigener Preis",IF(C28&lt;&gt;"","Händler",IF(IF(Übersicht!$B$4="NH",H28,I28)&lt;Übersicht!$B$6,"dünn",""))))</f>
        <v/>
      </c>
      <c r="N28" s="21" t="s">
        <v>144</v>
      </c>
      <c r="O28" s="8"/>
    </row>
    <row r="29" customFormat="false" ht="15" hidden="false" customHeight="false" outlineLevel="0" collapsed="false">
      <c r="A29" s="8" t="s">
        <v>80</v>
      </c>
      <c r="B29" s="8" t="s">
        <v>64</v>
      </c>
      <c r="C29" s="18"/>
      <c r="D29" s="18" t="n">
        <v>44</v>
      </c>
      <c r="E29" s="18" t="n">
        <v>27.97</v>
      </c>
      <c r="F29" s="18" t="n">
        <v>191.72</v>
      </c>
      <c r="G29" s="18" t="n">
        <v>109.75</v>
      </c>
      <c r="H29" s="19" t="n">
        <v>99</v>
      </c>
      <c r="I29" s="19" t="n">
        <v>110</v>
      </c>
      <c r="J29" s="16" t="s">
        <v>104</v>
      </c>
      <c r="K29" s="20"/>
      <c r="L29" s="7" t="n">
        <f aca="false">IF(K29&lt;&gt;"",K29,IF(C29&lt;&gt;"",C29,IF(Übersicht!$B$4="NH",IF(Übersicht!$B$5="jetzt",IF(D29="","",D29),IF(F29="","",F29)),IF(Übersicht!$B$5="jetzt",IF(E29="","",E29),IF(G29="","",G29)))))</f>
        <v>44</v>
      </c>
      <c r="M29" s="17" t="str">
        <f aca="false">IF(L29="","kein Preis",IF(K29&lt;&gt;"","eigener Preis",IF(C29&lt;&gt;"","Händler",IF(IF(Übersicht!$B$4="NH",H29,I29)&lt;Übersicht!$B$6,"dünn",""))))</f>
        <v/>
      </c>
      <c r="N29" s="21" t="s">
        <v>145</v>
      </c>
      <c r="O29" s="8"/>
    </row>
    <row r="30" customFormat="false" ht="15" hidden="false" customHeight="false" outlineLevel="0" collapsed="false">
      <c r="A30" s="8" t="s">
        <v>81</v>
      </c>
      <c r="B30" s="8" t="s">
        <v>64</v>
      </c>
      <c r="C30" s="18"/>
      <c r="D30" s="18" t="n">
        <v>268.98</v>
      </c>
      <c r="E30" s="18" t="n">
        <v>345.93</v>
      </c>
      <c r="F30" s="18" t="n">
        <v>132.42</v>
      </c>
      <c r="G30" s="18" t="n">
        <v>139.36</v>
      </c>
      <c r="H30" s="19" t="n">
        <v>46</v>
      </c>
      <c r="I30" s="19" t="n">
        <v>67</v>
      </c>
      <c r="J30" s="16" t="s">
        <v>104</v>
      </c>
      <c r="K30" s="20"/>
      <c r="L30" s="7" t="n">
        <f aca="false">IF(K30&lt;&gt;"",K30,IF(C30&lt;&gt;"",C30,IF(Übersicht!$B$4="NH",IF(Übersicht!$B$5="jetzt",IF(D30="","",D30),IF(F30="","",F30)),IF(Übersicht!$B$5="jetzt",IF(E30="","",E30),IF(G30="","",G30)))))</f>
        <v>268.98</v>
      </c>
      <c r="M30" s="17" t="str">
        <f aca="false">IF(L30="","kein Preis",IF(K30&lt;&gt;"","eigener Preis",IF(C30&lt;&gt;"","Händler",IF(IF(Übersicht!$B$4="NH",H30,I30)&lt;Übersicht!$B$6,"dünn",""))))</f>
        <v>dünn</v>
      </c>
      <c r="N30" s="21" t="s">
        <v>146</v>
      </c>
      <c r="O30" s="8"/>
    </row>
    <row r="31" customFormat="false" ht="15" hidden="false" customHeight="false" outlineLevel="0" collapsed="false">
      <c r="A31" s="8" t="s">
        <v>147</v>
      </c>
      <c r="B31" s="8" t="s">
        <v>64</v>
      </c>
      <c r="C31" s="18"/>
      <c r="D31" s="18" t="n">
        <v>800</v>
      </c>
      <c r="E31" s="18" t="n">
        <v>1099</v>
      </c>
      <c r="F31" s="18" t="n">
        <v>439.94</v>
      </c>
      <c r="G31" s="18" t="n">
        <v>412.27</v>
      </c>
      <c r="H31" s="19" t="n">
        <v>17</v>
      </c>
      <c r="I31" s="19" t="n">
        <v>17</v>
      </c>
      <c r="J31" s="16" t="s">
        <v>104</v>
      </c>
      <c r="K31" s="20"/>
      <c r="L31" s="7" t="n">
        <f aca="false">IF(K31&lt;&gt;"",K31,IF(C31&lt;&gt;"",C31,IF(Übersicht!$B$4="NH",IF(Übersicht!$B$5="jetzt",IF(D31="","",D31),IF(F31="","",F31)),IF(Übersicht!$B$5="jetzt",IF(E31="","",E31),IF(G31="","",G31)))))</f>
        <v>800</v>
      </c>
      <c r="M31" s="17" t="str">
        <f aca="false">IF(L31="","kein Preis",IF(K31&lt;&gt;"","eigener Preis",IF(C31&lt;&gt;"","Händler",IF(IF(Übersicht!$B$4="NH",H31,I31)&lt;Übersicht!$B$6,"dünn",""))))</f>
        <v>dünn</v>
      </c>
      <c r="N31" s="21" t="s">
        <v>148</v>
      </c>
      <c r="O31" s="8"/>
    </row>
    <row r="32" customFormat="false" ht="15" hidden="false" customHeight="false" outlineLevel="0" collapsed="false">
      <c r="A32" s="8" t="s">
        <v>149</v>
      </c>
      <c r="B32" s="8" t="s">
        <v>64</v>
      </c>
      <c r="C32" s="18"/>
      <c r="D32" s="18" t="n">
        <v>200</v>
      </c>
      <c r="E32" s="18" t="n">
        <v>65</v>
      </c>
      <c r="F32" s="18" t="n">
        <v>500</v>
      </c>
      <c r="G32" s="18" t="n">
        <v>228.06</v>
      </c>
      <c r="H32" s="19" t="n">
        <v>42</v>
      </c>
      <c r="I32" s="19" t="n">
        <v>16</v>
      </c>
      <c r="J32" s="16" t="s">
        <v>104</v>
      </c>
      <c r="K32" s="20"/>
      <c r="L32" s="7" t="n">
        <f aca="false">IF(K32&lt;&gt;"",K32,IF(C32&lt;&gt;"",C32,IF(Übersicht!$B$4="NH",IF(Übersicht!$B$5="jetzt",IF(D32="","",D32),IF(F32="","",F32)),IF(Übersicht!$B$5="jetzt",IF(E32="","",E32),IF(G32="","",G32)))))</f>
        <v>200</v>
      </c>
      <c r="M32" s="17" t="str">
        <f aca="false">IF(L32="","kein Preis",IF(K32&lt;&gt;"","eigener Preis",IF(C32&lt;&gt;"","Händler",IF(IF(Übersicht!$B$4="NH",H32,I32)&lt;Übersicht!$B$6,"dünn",""))))</f>
        <v>dünn</v>
      </c>
      <c r="N32" s="21" t="s">
        <v>150</v>
      </c>
      <c r="O32" s="8"/>
    </row>
    <row r="33" customFormat="false" ht="15" hidden="false" customHeight="false" outlineLevel="0" collapsed="false">
      <c r="A33" s="8" t="s">
        <v>88</v>
      </c>
      <c r="B33" s="8" t="s">
        <v>64</v>
      </c>
      <c r="C33" s="18"/>
      <c r="D33" s="18"/>
      <c r="E33" s="18" t="n">
        <v>454</v>
      </c>
      <c r="F33" s="18"/>
      <c r="G33" s="18" t="n">
        <v>1001</v>
      </c>
      <c r="H33" s="19" t="n">
        <v>0</v>
      </c>
      <c r="I33" s="19" t="n">
        <v>12</v>
      </c>
      <c r="J33" s="16" t="s">
        <v>104</v>
      </c>
      <c r="K33" s="20"/>
      <c r="L33" s="7" t="str">
        <f aca="false">IF(K33&lt;&gt;"",K33,IF(C33&lt;&gt;"",C33,IF(Übersicht!$B$4="NH",IF(Übersicht!$B$5="jetzt",IF(D33="","",D33),IF(F33="","",F33)),IF(Übersicht!$B$5="jetzt",IF(E33="","",E33),IF(G33="","",G33)))))</f>
        <v/>
      </c>
      <c r="M33" s="17" t="str">
        <f aca="false">IF(L33="","kein Preis",IF(K33&lt;&gt;"","eigener Preis",IF(C33&lt;&gt;"","Händler",IF(IF(Übersicht!$B$4="NH",H33,I33)&lt;Übersicht!$B$6,"dünn",""))))</f>
        <v>kein Preis</v>
      </c>
      <c r="N33" s="21" t="s">
        <v>151</v>
      </c>
      <c r="O33" s="8" t="s">
        <v>152</v>
      </c>
    </row>
    <row r="34" customFormat="false" ht="15" hidden="false" customHeight="false" outlineLevel="0" collapsed="false">
      <c r="A34" s="8" t="s">
        <v>153</v>
      </c>
      <c r="B34" s="8" t="s">
        <v>64</v>
      </c>
      <c r="C34" s="18"/>
      <c r="D34" s="18" t="n">
        <v>3.66</v>
      </c>
      <c r="E34" s="18" t="n">
        <v>2.18</v>
      </c>
      <c r="F34" s="18" t="n">
        <v>3.51</v>
      </c>
      <c r="G34" s="18" t="n">
        <v>2.87</v>
      </c>
      <c r="H34" s="19" t="n">
        <v>637</v>
      </c>
      <c r="I34" s="19" t="n">
        <v>1060</v>
      </c>
      <c r="J34" s="16" t="s">
        <v>117</v>
      </c>
      <c r="K34" s="20"/>
      <c r="L34" s="7" t="n">
        <f aca="false">IF(K34&lt;&gt;"",K34,IF(C34&lt;&gt;"",C34,IF(Übersicht!$B$4="NH",IF(Übersicht!$B$5="jetzt",IF(D34="","",D34),IF(F34="","",F34)),IF(Übersicht!$B$5="jetzt",IF(E34="","",E34),IF(G34="","",G34)))))</f>
        <v>3.66</v>
      </c>
      <c r="M34" s="17" t="str">
        <f aca="false">IF(L34="","kein Preis",IF(K34&lt;&gt;"","eigener Preis",IF(C34&lt;&gt;"","Händler",IF(IF(Übersicht!$B$4="NH",H34,I34)&lt;Übersicht!$B$6,"dünn",""))))</f>
        <v/>
      </c>
      <c r="N34" s="21" t="s">
        <v>154</v>
      </c>
      <c r="O34" s="8"/>
    </row>
    <row r="35" customFormat="false" ht="15" hidden="false" customHeight="false" outlineLevel="0" collapsed="false">
      <c r="A35" s="8" t="s">
        <v>155</v>
      </c>
      <c r="B35" s="8" t="s">
        <v>64</v>
      </c>
      <c r="C35" s="18"/>
      <c r="D35" s="18" t="n">
        <v>78.99</v>
      </c>
      <c r="E35" s="18" t="n">
        <v>62</v>
      </c>
      <c r="F35" s="18" t="n">
        <v>111.64</v>
      </c>
      <c r="G35" s="18" t="n">
        <v>85.88</v>
      </c>
      <c r="H35" s="19" t="n">
        <v>121</v>
      </c>
      <c r="I35" s="19" t="n">
        <v>291</v>
      </c>
      <c r="J35" s="16" t="s">
        <v>117</v>
      </c>
      <c r="K35" s="20"/>
      <c r="L35" s="7" t="n">
        <f aca="false">IF(K35&lt;&gt;"",K35,IF(C35&lt;&gt;"",C35,IF(Übersicht!$B$4="NH",IF(Übersicht!$B$5="jetzt",IF(D35="","",D35),IF(F35="","",F35)),IF(Übersicht!$B$5="jetzt",IF(E35="","",E35),IF(G35="","",G35)))))</f>
        <v>78.99</v>
      </c>
      <c r="M35" s="17" t="str">
        <f aca="false">IF(L35="","kein Preis",IF(K35&lt;&gt;"","eigener Preis",IF(C35&lt;&gt;"","Händler",IF(IF(Übersicht!$B$4="NH",H35,I35)&lt;Übersicht!$B$6,"dünn",""))))</f>
        <v/>
      </c>
      <c r="N35" s="21" t="s">
        <v>156</v>
      </c>
      <c r="O35" s="8"/>
    </row>
    <row r="36" customFormat="false" ht="15" hidden="false" customHeight="false" outlineLevel="0" collapsed="false">
      <c r="A36" s="8" t="s">
        <v>157</v>
      </c>
      <c r="B36" s="8" t="s">
        <v>64</v>
      </c>
      <c r="C36" s="18"/>
      <c r="D36" s="18" t="n">
        <v>75.99</v>
      </c>
      <c r="E36" s="18" t="n">
        <v>73</v>
      </c>
      <c r="F36" s="18" t="n">
        <v>184.38</v>
      </c>
      <c r="G36" s="18" t="n">
        <v>198.99</v>
      </c>
      <c r="H36" s="19" t="n">
        <v>10</v>
      </c>
      <c r="I36" s="19" t="n">
        <v>7</v>
      </c>
      <c r="J36" s="16" t="s">
        <v>117</v>
      </c>
      <c r="K36" s="20"/>
      <c r="L36" s="7" t="n">
        <f aca="false">IF(K36&lt;&gt;"",K36,IF(C36&lt;&gt;"",C36,IF(Übersicht!$B$4="NH",IF(Übersicht!$B$5="jetzt",IF(D36="","",D36),IF(F36="","",F36)),IF(Übersicht!$B$5="jetzt",IF(E36="","",E36),IF(G36="","",G36)))))</f>
        <v>75.99</v>
      </c>
      <c r="M36" s="17" t="str">
        <f aca="false">IF(L36="","kein Preis",IF(K36&lt;&gt;"","eigener Preis",IF(C36&lt;&gt;"","Händler",IF(IF(Übersicht!$B$4="NH",H36,I36)&lt;Übersicht!$B$6,"dünn",""))))</f>
        <v>dünn</v>
      </c>
      <c r="N36" s="21" t="s">
        <v>158</v>
      </c>
      <c r="O36" s="8"/>
    </row>
    <row r="37" customFormat="false" ht="15" hidden="false" customHeight="false" outlineLevel="0" collapsed="false">
      <c r="A37" s="8" t="s">
        <v>159</v>
      </c>
      <c r="B37" s="8" t="s">
        <v>64</v>
      </c>
      <c r="C37" s="18"/>
      <c r="D37" s="18" t="n">
        <v>700</v>
      </c>
      <c r="E37" s="18" t="n">
        <v>580.99</v>
      </c>
      <c r="F37" s="18" t="n">
        <v>938.92</v>
      </c>
      <c r="G37" s="18" t="n">
        <v>853.02</v>
      </c>
      <c r="H37" s="19" t="n">
        <v>6</v>
      </c>
      <c r="I37" s="19" t="n">
        <v>33</v>
      </c>
      <c r="J37" s="16" t="s">
        <v>117</v>
      </c>
      <c r="K37" s="20"/>
      <c r="L37" s="7" t="n">
        <f aca="false">IF(K37&lt;&gt;"",K37,IF(C37&lt;&gt;"",C37,IF(Übersicht!$B$4="NH",IF(Übersicht!$B$5="jetzt",IF(D37="","",D37),IF(F37="","",F37)),IF(Übersicht!$B$5="jetzt",IF(E37="","",E37),IF(G37="","",G37)))))</f>
        <v>700</v>
      </c>
      <c r="M37" s="17" t="str">
        <f aca="false">IF(L37="","kein Preis",IF(K37&lt;&gt;"","eigener Preis",IF(C37&lt;&gt;"","Händler",IF(IF(Übersicht!$B$4="NH",H37,I37)&lt;Übersicht!$B$6,"dünn",""))))</f>
        <v>dünn</v>
      </c>
      <c r="N37" s="21" t="s">
        <v>160</v>
      </c>
      <c r="O37" s="8"/>
    </row>
    <row r="38" customFormat="false" ht="15" hidden="false" customHeight="false" outlineLevel="0" collapsed="false">
      <c r="A38" s="8" t="s">
        <v>161</v>
      </c>
      <c r="B38" s="8" t="s">
        <v>64</v>
      </c>
      <c r="C38" s="18"/>
      <c r="D38" s="18" t="n">
        <v>799.98</v>
      </c>
      <c r="E38" s="18" t="n">
        <v>498</v>
      </c>
      <c r="F38" s="18" t="n">
        <v>592.74</v>
      </c>
      <c r="G38" s="18" t="n">
        <v>918.75</v>
      </c>
      <c r="H38" s="19" t="n">
        <v>33</v>
      </c>
      <c r="I38" s="19" t="n">
        <v>81</v>
      </c>
      <c r="J38" s="16" t="s">
        <v>104</v>
      </c>
      <c r="K38" s="20"/>
      <c r="L38" s="7" t="n">
        <f aca="false">IF(K38&lt;&gt;"",K38,IF(C38&lt;&gt;"",C38,IF(Übersicht!$B$4="NH",IF(Übersicht!$B$5="jetzt",IF(D38="","",D38),IF(F38="","",F38)),IF(Übersicht!$B$5="jetzt",IF(E38="","",E38),IF(G38="","",G38)))))</f>
        <v>799.98</v>
      </c>
      <c r="M38" s="17" t="str">
        <f aca="false">IF(L38="","kein Preis",IF(K38&lt;&gt;"","eigener Preis",IF(C38&lt;&gt;"","Händler",IF(IF(Übersicht!$B$4="NH",H38,I38)&lt;Übersicht!$B$6,"dünn",""))))</f>
        <v>dünn</v>
      </c>
      <c r="N38" s="21" t="s">
        <v>162</v>
      </c>
      <c r="O38" s="8"/>
    </row>
    <row r="39" customFormat="false" ht="15" hidden="false" customHeight="false" outlineLevel="0" collapsed="false">
      <c r="A39" s="8" t="s">
        <v>163</v>
      </c>
      <c r="B39" s="8" t="s">
        <v>64</v>
      </c>
      <c r="C39" s="18"/>
      <c r="D39" s="18" t="n">
        <v>1149</v>
      </c>
      <c r="E39" s="18" t="n">
        <v>1099</v>
      </c>
      <c r="F39" s="18" t="n">
        <v>1025</v>
      </c>
      <c r="G39" s="18" t="n">
        <v>1449</v>
      </c>
      <c r="H39" s="19" t="n">
        <v>16</v>
      </c>
      <c r="I39" s="19" t="n">
        <v>77</v>
      </c>
      <c r="J39" s="16" t="s">
        <v>104</v>
      </c>
      <c r="K39" s="20"/>
      <c r="L39" s="7" t="n">
        <f aca="false">IF(K39&lt;&gt;"",K39,IF(C39&lt;&gt;"",C39,IF(Übersicht!$B$4="NH",IF(Übersicht!$B$5="jetzt",IF(D39="","",D39),IF(F39="","",F39)),IF(Übersicht!$B$5="jetzt",IF(E39="","",E39),IF(G39="","",G39)))))</f>
        <v>1149</v>
      </c>
      <c r="M39" s="17" t="str">
        <f aca="false">IF(L39="","kein Preis",IF(K39&lt;&gt;"","eigener Preis",IF(C39&lt;&gt;"","Händler",IF(IF(Übersicht!$B$4="NH",H39,I39)&lt;Übersicht!$B$6,"dünn",""))))</f>
        <v>dünn</v>
      </c>
      <c r="N39" s="21" t="s">
        <v>164</v>
      </c>
      <c r="O39" s="8"/>
    </row>
    <row r="40" customFormat="false" ht="15" hidden="false" customHeight="false" outlineLevel="0" collapsed="false">
      <c r="A40" s="8" t="s">
        <v>90</v>
      </c>
      <c r="B40" s="8" t="s">
        <v>64</v>
      </c>
      <c r="C40" s="18"/>
      <c r="D40" s="18" t="n">
        <v>488</v>
      </c>
      <c r="E40" s="18" t="n">
        <v>375</v>
      </c>
      <c r="F40" s="18" t="n">
        <v>700</v>
      </c>
      <c r="G40" s="18" t="n">
        <v>465.05</v>
      </c>
      <c r="H40" s="19" t="n">
        <v>4</v>
      </c>
      <c r="I40" s="19" t="n">
        <v>4</v>
      </c>
      <c r="J40" s="16" t="s">
        <v>104</v>
      </c>
      <c r="K40" s="20"/>
      <c r="L40" s="7" t="n">
        <f aca="false">IF(K40&lt;&gt;"",K40,IF(C40&lt;&gt;"",C40,IF(Übersicht!$B$4="NH",IF(Übersicht!$B$5="jetzt",IF(D40="","",D40),IF(F40="","",F40)),IF(Übersicht!$B$5="jetzt",IF(E40="","",E40),IF(G40="","",G40)))))</f>
        <v>488</v>
      </c>
      <c r="M40" s="17" t="str">
        <f aca="false">IF(L40="","kein Preis",IF(K40&lt;&gt;"","eigener Preis",IF(C40&lt;&gt;"","Händler",IF(IF(Übersicht!$B$4="NH",H40,I40)&lt;Übersicht!$B$6,"dünn",""))))</f>
        <v>dünn</v>
      </c>
      <c r="N40" s="21" t="s">
        <v>165</v>
      </c>
      <c r="O40" s="8"/>
    </row>
    <row r="41" customFormat="false" ht="15" hidden="false" customHeight="false" outlineLevel="0" collapsed="false">
      <c r="A41" s="8" t="s">
        <v>91</v>
      </c>
      <c r="B41" s="8" t="s">
        <v>64</v>
      </c>
      <c r="C41" s="18"/>
      <c r="D41" s="18"/>
      <c r="E41" s="18" t="n">
        <v>5001</v>
      </c>
      <c r="F41" s="18"/>
      <c r="G41" s="18" t="n">
        <v>5001</v>
      </c>
      <c r="H41" s="19" t="n">
        <v>0</v>
      </c>
      <c r="I41" s="19" t="n">
        <v>1</v>
      </c>
      <c r="J41" s="16" t="s">
        <v>166</v>
      </c>
      <c r="K41" s="20"/>
      <c r="L41" s="7" t="str">
        <f aca="false">IF(K41&lt;&gt;"",K41,IF(C41&lt;&gt;"",C41,IF(Übersicht!$B$4="NH",IF(Übersicht!$B$5="jetzt",IF(D41="","",D41),IF(F41="","",F41)),IF(Übersicht!$B$5="jetzt",IF(E41="","",E41),IF(G41="","",G41)))))</f>
        <v/>
      </c>
      <c r="M41" s="17" t="str">
        <f aca="false">IF(L41="","kein Preis",IF(K41&lt;&gt;"","eigener Preis",IF(C41&lt;&gt;"","Händler",IF(IF(Übersicht!$B$4="NH",H41,I41)&lt;Übersicht!$B$6,"dünn",""))))</f>
        <v>kein Preis</v>
      </c>
      <c r="N41" s="21" t="s">
        <v>167</v>
      </c>
      <c r="O41" s="8" t="s">
        <v>168</v>
      </c>
    </row>
    <row r="42" customFormat="false" ht="15" hidden="false" customHeight="false" outlineLevel="0" collapsed="false">
      <c r="A42" s="8" t="s">
        <v>63</v>
      </c>
      <c r="B42" s="8" t="s">
        <v>64</v>
      </c>
      <c r="C42" s="18"/>
      <c r="D42" s="18"/>
      <c r="E42" s="18"/>
      <c r="F42" s="18"/>
      <c r="G42" s="18"/>
      <c r="H42" s="19" t="n">
        <v>0</v>
      </c>
      <c r="I42" s="19" t="n">
        <v>0</v>
      </c>
      <c r="J42" s="16" t="s">
        <v>169</v>
      </c>
      <c r="K42" s="20"/>
      <c r="L42" s="7" t="str">
        <f aca="false">IF(K42&lt;&gt;"",K42,IF(C42&lt;&gt;"",C42,IF(Übersicht!$B$4="NH",IF(Übersicht!$B$5="jetzt",IF(D42="","",D42),IF(F42="","",F42)),IF(Übersicht!$B$5="jetzt",IF(E42="","",E42),IF(G42="","",G42)))))</f>
        <v/>
      </c>
      <c r="M42" s="17" t="str">
        <f aca="false">IF(L42="","kein Preis",IF(K42&lt;&gt;"","eigener Preis",IF(C42&lt;&gt;"","Händler",IF(IF(Übersicht!$B$4="NH",H42,I42)&lt;Übersicht!$B$6,"dünn",""))))</f>
        <v>kein Preis</v>
      </c>
      <c r="N42" s="21" t="s">
        <v>170</v>
      </c>
      <c r="O42" s="8" t="s">
        <v>171</v>
      </c>
    </row>
    <row r="43" customFormat="false" ht="15" hidden="false" customHeight="false" outlineLevel="0" collapsed="false">
      <c r="A43" s="8" t="s">
        <v>67</v>
      </c>
      <c r="B43" s="8" t="s">
        <v>64</v>
      </c>
      <c r="C43" s="18"/>
      <c r="D43" s="18" t="n">
        <v>19</v>
      </c>
      <c r="E43" s="18" t="n">
        <v>20</v>
      </c>
      <c r="F43" s="18" t="n">
        <v>2</v>
      </c>
      <c r="G43" s="18" t="n">
        <v>2</v>
      </c>
      <c r="H43" s="19" t="n">
        <v>121</v>
      </c>
      <c r="I43" s="19" t="n">
        <v>6</v>
      </c>
      <c r="J43" s="16" t="s">
        <v>172</v>
      </c>
      <c r="K43" s="20"/>
      <c r="L43" s="7" t="n">
        <f aca="false">IF(K43&lt;&gt;"",K43,IF(C43&lt;&gt;"",C43,IF(Übersicht!$B$4="NH",IF(Übersicht!$B$5="jetzt",IF(D43="","",D43),IF(F43="","",F43)),IF(Übersicht!$B$5="jetzt",IF(E43="","",E43),IF(G43="","",G43)))))</f>
        <v>19</v>
      </c>
      <c r="M43" s="17" t="str">
        <f aca="false">IF(L43="","kein Preis",IF(K43&lt;&gt;"","eigener Preis",IF(C43&lt;&gt;"","Händler",IF(IF(Übersicht!$B$4="NH",H43,I43)&lt;Übersicht!$B$6,"dünn",""))))</f>
        <v/>
      </c>
      <c r="N43" s="21" t="s">
        <v>173</v>
      </c>
      <c r="O43" s="8" t="s">
        <v>174</v>
      </c>
    </row>
    <row r="44" customFormat="false" ht="15" hidden="false" customHeight="false" outlineLevel="0" collapsed="false">
      <c r="A44" s="8" t="s">
        <v>74</v>
      </c>
      <c r="B44" s="8" t="s">
        <v>64</v>
      </c>
      <c r="C44" s="18"/>
      <c r="D44" s="18" t="n">
        <v>8</v>
      </c>
      <c r="E44" s="18" t="n">
        <v>10</v>
      </c>
      <c r="F44" s="18" t="n">
        <v>11.08</v>
      </c>
      <c r="G44" s="18" t="n">
        <v>8.86</v>
      </c>
      <c r="H44" s="19" t="n">
        <v>32</v>
      </c>
      <c r="I44" s="19" t="n">
        <v>124</v>
      </c>
      <c r="J44" s="16" t="s">
        <v>104</v>
      </c>
      <c r="K44" s="20"/>
      <c r="L44" s="7" t="n">
        <f aca="false">IF(K44&lt;&gt;"",K44,IF(C44&lt;&gt;"",C44,IF(Übersicht!$B$4="NH",IF(Übersicht!$B$5="jetzt",IF(D44="","",D44),IF(F44="","",F44)),IF(Übersicht!$B$5="jetzt",IF(E44="","",E44),IF(G44="","",G44)))))</f>
        <v>8</v>
      </c>
      <c r="M44" s="17" t="str">
        <f aca="false">IF(L44="","kein Preis",IF(K44&lt;&gt;"","eigener Preis",IF(C44&lt;&gt;"","Händler",IF(IF(Übersicht!$B$4="NH",H44,I44)&lt;Übersicht!$B$6,"dünn",""))))</f>
        <v>dünn</v>
      </c>
      <c r="N44" s="21" t="s">
        <v>175</v>
      </c>
      <c r="O44" s="8" t="s">
        <v>174</v>
      </c>
    </row>
    <row r="45" customFormat="false" ht="15" hidden="false" customHeight="false" outlineLevel="0" collapsed="false">
      <c r="A45" s="8" t="s">
        <v>78</v>
      </c>
      <c r="B45" s="8" t="s">
        <v>64</v>
      </c>
      <c r="C45" s="18"/>
      <c r="D45" s="18" t="n">
        <v>85</v>
      </c>
      <c r="E45" s="18" t="n">
        <v>105</v>
      </c>
      <c r="F45" s="18" t="n">
        <v>130.97</v>
      </c>
      <c r="G45" s="18" t="n">
        <v>190.04</v>
      </c>
      <c r="H45" s="19" t="n">
        <v>26</v>
      </c>
      <c r="I45" s="19" t="n">
        <v>71</v>
      </c>
      <c r="J45" s="16" t="s">
        <v>104</v>
      </c>
      <c r="K45" s="20"/>
      <c r="L45" s="7" t="n">
        <f aca="false">IF(K45&lt;&gt;"",K45,IF(C45&lt;&gt;"",C45,IF(Übersicht!$B$4="NH",IF(Übersicht!$B$5="jetzt",IF(D45="","",D45),IF(F45="","",F45)),IF(Übersicht!$B$5="jetzt",IF(E45="","",E45),IF(G45="","",G45)))))</f>
        <v>85</v>
      </c>
      <c r="M45" s="17" t="str">
        <f aca="false">IF(L45="","kein Preis",IF(K45&lt;&gt;"","eigener Preis",IF(C45&lt;&gt;"","Händler",IF(IF(Übersicht!$B$4="NH",H45,I45)&lt;Übersicht!$B$6,"dünn",""))))</f>
        <v>dünn</v>
      </c>
      <c r="N45" s="21" t="s">
        <v>176</v>
      </c>
      <c r="O45" s="8" t="s">
        <v>174</v>
      </c>
    </row>
    <row r="46" customFormat="false" ht="15" hidden="false" customHeight="false" outlineLevel="0" collapsed="false">
      <c r="A46" s="8" t="s">
        <v>85</v>
      </c>
      <c r="B46" s="8" t="s">
        <v>64</v>
      </c>
      <c r="C46" s="18"/>
      <c r="D46" s="18"/>
      <c r="E46" s="18"/>
      <c r="F46" s="18"/>
      <c r="G46" s="18"/>
      <c r="H46" s="19" t="n">
        <v>0</v>
      </c>
      <c r="I46" s="19" t="n">
        <v>0</v>
      </c>
      <c r="J46" s="16" t="s">
        <v>177</v>
      </c>
      <c r="K46" s="20"/>
      <c r="L46" s="7" t="str">
        <f aca="false">IF(K46&lt;&gt;"",K46,IF(C46&lt;&gt;"",C46,IF(Übersicht!$B$4="NH",IF(Übersicht!$B$5="jetzt",IF(D46="","",D46),IF(F46="","",F46)),IF(Übersicht!$B$5="jetzt",IF(E46="","",E46),IF(G46="","",G46)))))</f>
        <v/>
      </c>
      <c r="M46" s="17" t="str">
        <f aca="false">IF(L46="","kein Preis",IF(K46&lt;&gt;"","eigener Preis",IF(C46&lt;&gt;"","Händler",IF(IF(Übersicht!$B$4="NH",H46,I46)&lt;Übersicht!$B$6,"dünn",""))))</f>
        <v>kein Preis</v>
      </c>
      <c r="N46" s="21" t="s">
        <v>178</v>
      </c>
      <c r="O46" s="8" t="s">
        <v>179</v>
      </c>
    </row>
    <row r="47" customFormat="false" ht="15" hidden="false" customHeight="false" outlineLevel="0" collapsed="false">
      <c r="A47" s="8" t="s">
        <v>75</v>
      </c>
      <c r="B47" s="8" t="s">
        <v>64</v>
      </c>
      <c r="C47" s="18"/>
      <c r="D47" s="18" t="n">
        <v>304.5</v>
      </c>
      <c r="E47" s="18" t="n">
        <v>280.89</v>
      </c>
      <c r="F47" s="18" t="n">
        <v>397.07</v>
      </c>
      <c r="G47" s="18" t="n">
        <v>318.49</v>
      </c>
      <c r="H47" s="19" t="n">
        <v>23</v>
      </c>
      <c r="I47" s="19" t="n">
        <v>42</v>
      </c>
      <c r="J47" s="16" t="s">
        <v>117</v>
      </c>
      <c r="K47" s="20"/>
      <c r="L47" s="7" t="n">
        <f aca="false">IF(K47&lt;&gt;"",K47,IF(C47&lt;&gt;"",C47,IF(Übersicht!$B$4="NH",IF(Übersicht!$B$5="jetzt",IF(D47="","",D47),IF(F47="","",F47)),IF(Übersicht!$B$5="jetzt",IF(E47="","",E47),IF(G47="","",G47)))))</f>
        <v>304.5</v>
      </c>
      <c r="M47" s="17" t="str">
        <f aca="false">IF(L47="","kein Preis",IF(K47&lt;&gt;"","eigener Preis",IF(C47&lt;&gt;"","Händler",IF(IF(Übersicht!$B$4="NH",H47,I47)&lt;Übersicht!$B$6,"dünn",""))))</f>
        <v>dünn</v>
      </c>
      <c r="N47" s="21" t="s">
        <v>180</v>
      </c>
      <c r="O47" s="8"/>
    </row>
    <row r="48" customFormat="false" ht="15" hidden="false" customHeight="false" outlineLevel="0" collapsed="false">
      <c r="A48" s="8" t="s">
        <v>79</v>
      </c>
      <c r="B48" s="8" t="s">
        <v>64</v>
      </c>
      <c r="C48" s="18"/>
      <c r="D48" s="18" t="n">
        <v>1000</v>
      </c>
      <c r="E48" s="18" t="n">
        <v>848.99</v>
      </c>
      <c r="F48" s="18" t="n">
        <v>744.98</v>
      </c>
      <c r="G48" s="18" t="n">
        <v>747.95</v>
      </c>
      <c r="H48" s="19" t="n">
        <v>12</v>
      </c>
      <c r="I48" s="19" t="n">
        <v>33</v>
      </c>
      <c r="J48" s="16" t="s">
        <v>104</v>
      </c>
      <c r="K48" s="20"/>
      <c r="L48" s="7" t="n">
        <f aca="false">IF(K48&lt;&gt;"",K48,IF(C48&lt;&gt;"",C48,IF(Übersicht!$B$4="NH",IF(Übersicht!$B$5="jetzt",IF(D48="","",D48),IF(F48="","",F48)),IF(Übersicht!$B$5="jetzt",IF(E48="","",E48),IF(G48="","",G48)))))</f>
        <v>1000</v>
      </c>
      <c r="M48" s="17" t="str">
        <f aca="false">IF(L48="","kein Preis",IF(K48&lt;&gt;"","eigener Preis",IF(C48&lt;&gt;"","Händler",IF(IF(Übersicht!$B$4="NH",H48,I48)&lt;Übersicht!$B$6,"dünn",""))))</f>
        <v>dünn</v>
      </c>
      <c r="N48" s="21" t="s">
        <v>181</v>
      </c>
      <c r="O48" s="8"/>
    </row>
    <row r="49" customFormat="false" ht="15" hidden="false" customHeight="false" outlineLevel="0" collapsed="false">
      <c r="A49" s="8" t="s">
        <v>86</v>
      </c>
      <c r="B49" s="8" t="s">
        <v>64</v>
      </c>
      <c r="C49" s="18"/>
      <c r="D49" s="18" t="n">
        <v>500</v>
      </c>
      <c r="E49" s="18" t="n">
        <v>276</v>
      </c>
      <c r="F49" s="18" t="n">
        <v>379.52</v>
      </c>
      <c r="G49" s="18" t="n">
        <v>324.84</v>
      </c>
      <c r="H49" s="19" t="n">
        <v>31</v>
      </c>
      <c r="I49" s="19" t="n">
        <v>3</v>
      </c>
      <c r="J49" s="16" t="s">
        <v>166</v>
      </c>
      <c r="K49" s="20"/>
      <c r="L49" s="7" t="n">
        <f aca="false">IF(K49&lt;&gt;"",K49,IF(C49&lt;&gt;"",C49,IF(Übersicht!$B$4="NH",IF(Übersicht!$B$5="jetzt",IF(D49="","",D49),IF(F49="","",F49)),IF(Übersicht!$B$5="jetzt",IF(E49="","",E49),IF(G49="","",G49)))))</f>
        <v>500</v>
      </c>
      <c r="M49" s="17" t="str">
        <f aca="false">IF(L49="","kein Preis",IF(K49&lt;&gt;"","eigener Preis",IF(C49&lt;&gt;"","Händler",IF(IF(Übersicht!$B$4="NH",H49,I49)&lt;Übersicht!$B$6,"dünn",""))))</f>
        <v>dünn</v>
      </c>
      <c r="N49" s="21" t="s">
        <v>182</v>
      </c>
      <c r="O49" s="8"/>
    </row>
    <row r="50" customFormat="false" ht="15" hidden="false" customHeight="false" outlineLevel="0" collapsed="false">
      <c r="A50" s="8" t="s">
        <v>69</v>
      </c>
      <c r="B50" s="8" t="s">
        <v>64</v>
      </c>
      <c r="C50" s="18"/>
      <c r="D50" s="18" t="n">
        <v>3.14</v>
      </c>
      <c r="E50" s="18" t="n">
        <v>2.92</v>
      </c>
      <c r="F50" s="18" t="n">
        <v>3.86</v>
      </c>
      <c r="G50" s="18" t="n">
        <v>3.88</v>
      </c>
      <c r="H50" s="19" t="n">
        <v>345</v>
      </c>
      <c r="I50" s="19" t="n">
        <v>446</v>
      </c>
      <c r="J50" s="16" t="s">
        <v>104</v>
      </c>
      <c r="K50" s="20"/>
      <c r="L50" s="7" t="n">
        <f aca="false">IF(K50&lt;&gt;"",K50,IF(C50&lt;&gt;"",C50,IF(Übersicht!$B$4="NH",IF(Übersicht!$B$5="jetzt",IF(D50="","",D50),IF(F50="","",F50)),IF(Übersicht!$B$5="jetzt",IF(E50="","",E50),IF(G50="","",G50)))))</f>
        <v>3.14</v>
      </c>
      <c r="M50" s="17" t="str">
        <f aca="false">IF(L50="","kein Preis",IF(K50&lt;&gt;"","eigener Preis",IF(C50&lt;&gt;"","Händler",IF(IF(Übersicht!$B$4="NH",H50,I50)&lt;Übersicht!$B$6,"dünn",""))))</f>
        <v/>
      </c>
      <c r="N50" s="21" t="s">
        <v>183</v>
      </c>
      <c r="O50" s="8"/>
    </row>
    <row r="51" customFormat="false" ht="15" hidden="false" customHeight="false" outlineLevel="0" collapsed="false">
      <c r="A51" s="8" t="s">
        <v>71</v>
      </c>
      <c r="B51" s="8" t="s">
        <v>64</v>
      </c>
      <c r="C51" s="18"/>
      <c r="D51" s="18" t="n">
        <v>0.7</v>
      </c>
      <c r="E51" s="18"/>
      <c r="F51" s="18" t="n">
        <v>0.75</v>
      </c>
      <c r="G51" s="18" t="n">
        <v>0.74</v>
      </c>
      <c r="H51" s="19" t="n">
        <v>349</v>
      </c>
      <c r="I51" s="19" t="n">
        <v>0</v>
      </c>
      <c r="J51" s="16" t="s">
        <v>115</v>
      </c>
      <c r="K51" s="20"/>
      <c r="L51" s="7" t="n">
        <f aca="false">IF(K51&lt;&gt;"",K51,IF(C51&lt;&gt;"",C51,IF(Übersicht!$B$4="NH",IF(Übersicht!$B$5="jetzt",IF(D51="","",D51),IF(F51="","",F51)),IF(Übersicht!$B$5="jetzt",IF(E51="","",E51),IF(G51="","",G51)))))</f>
        <v>0.7</v>
      </c>
      <c r="M51" s="17" t="str">
        <f aca="false">IF(L51="","kein Preis",IF(K51&lt;&gt;"","eigener Preis",IF(C51&lt;&gt;"","Händler",IF(IF(Übersicht!$B$4="NH",H51,I51)&lt;Übersicht!$B$6,"dünn",""))))</f>
        <v/>
      </c>
      <c r="N51" s="21" t="s">
        <v>184</v>
      </c>
      <c r="O51" s="8"/>
    </row>
    <row r="52" customFormat="false" ht="15" hidden="false" customHeight="false" outlineLevel="0" collapsed="false">
      <c r="A52" s="8" t="s">
        <v>83</v>
      </c>
      <c r="B52" s="8" t="s">
        <v>64</v>
      </c>
      <c r="C52" s="18"/>
      <c r="D52" s="18" t="n">
        <v>2005</v>
      </c>
      <c r="E52" s="18" t="n">
        <v>50.79</v>
      </c>
      <c r="F52" s="18" t="n">
        <v>108.19</v>
      </c>
      <c r="G52" s="18" t="n">
        <v>33.9</v>
      </c>
      <c r="H52" s="19" t="n">
        <v>25</v>
      </c>
      <c r="I52" s="19" t="n">
        <v>60</v>
      </c>
      <c r="J52" s="16" t="s">
        <v>185</v>
      </c>
      <c r="K52" s="20"/>
      <c r="L52" s="7" t="n">
        <f aca="false">IF(K52&lt;&gt;"",K52,IF(C52&lt;&gt;"",C52,IF(Übersicht!$B$4="NH",IF(Übersicht!$B$5="jetzt",IF(D52="","",D52),IF(F52="","",F52)),IF(Übersicht!$B$5="jetzt",IF(E52="","",E52),IF(G52="","",G52)))))</f>
        <v>2005</v>
      </c>
      <c r="M52" s="17" t="str">
        <f aca="false">IF(L52="","kein Preis",IF(K52&lt;&gt;"","eigener Preis",IF(C52&lt;&gt;"","Händler",IF(IF(Übersicht!$B$4="NH",H52,I52)&lt;Übersicht!$B$6,"dünn",""))))</f>
        <v>dünn</v>
      </c>
      <c r="N52" s="21" t="s">
        <v>186</v>
      </c>
      <c r="O52" s="8" t="s">
        <v>187</v>
      </c>
    </row>
    <row r="53" customFormat="false" ht="15" hidden="false" customHeight="false" outlineLevel="0" collapsed="false">
      <c r="A53" s="8" t="s">
        <v>84</v>
      </c>
      <c r="B53" s="8" t="s">
        <v>64</v>
      </c>
      <c r="C53" s="18"/>
      <c r="D53" s="18" t="n">
        <v>5</v>
      </c>
      <c r="E53" s="18" t="n">
        <v>9.75</v>
      </c>
      <c r="F53" s="18" t="n">
        <v>4.67</v>
      </c>
      <c r="G53" s="18" t="n">
        <v>3.99</v>
      </c>
      <c r="H53" s="19" t="n">
        <v>26</v>
      </c>
      <c r="I53" s="19" t="n">
        <v>335</v>
      </c>
      <c r="J53" s="16" t="s">
        <v>104</v>
      </c>
      <c r="K53" s="20"/>
      <c r="L53" s="7" t="n">
        <f aca="false">IF(K53&lt;&gt;"",K53,IF(C53&lt;&gt;"",C53,IF(Übersicht!$B$4="NH",IF(Übersicht!$B$5="jetzt",IF(D53="","",D53),IF(F53="","",F53)),IF(Übersicht!$B$5="jetzt",IF(E53="","",E53),IF(G53="","",G53)))))</f>
        <v>5</v>
      </c>
      <c r="M53" s="17" t="str">
        <f aca="false">IF(L53="","kein Preis",IF(K53&lt;&gt;"","eigener Preis",IF(C53&lt;&gt;"","Händler",IF(IF(Übersicht!$B$4="NH",H53,I53)&lt;Übersicht!$B$6,"dünn",""))))</f>
        <v>dünn</v>
      </c>
      <c r="N53" s="21" t="s">
        <v>188</v>
      </c>
      <c r="O53" s="8"/>
    </row>
  </sheetData>
  <hyperlinks>
    <hyperlink ref="N3" r:id="rId1" display="https://ahledger.com/items/2934-ruined-leather-scraps"/>
    <hyperlink ref="N4" r:id="rId2" display="https://ahledger.com/items/2318-light-leather"/>
    <hyperlink ref="N5" r:id="rId3" display="https://ahledger.com/items/2319-medium-leather"/>
    <hyperlink ref="N6" r:id="rId4" display="https://ahledger.com/items/4234-heavy-leather"/>
    <hyperlink ref="N7" r:id="rId5" display="https://ahledger.com/items/4304-thick-leather"/>
    <hyperlink ref="N8" r:id="rId6" display="https://ahledger.com/items/8170-rugged-leather"/>
    <hyperlink ref="N9" r:id="rId7" display="https://ahledger.com/items/783-light-hide"/>
    <hyperlink ref="N10" r:id="rId8" display="https://ahledger.com/items/4232-medium-hide"/>
    <hyperlink ref="N11" r:id="rId9" display="https://ahledger.com/items/4235-heavy-hide"/>
    <hyperlink ref="N12" r:id="rId10" display="https://ahledger.com/items/4289-salt"/>
    <hyperlink ref="N13" r:id="rId11" display="https://ahledger.com/items/2320-coarse-thread"/>
    <hyperlink ref="N14" r:id="rId12" display="https://ahledger.com/items/2321-fine-thread"/>
    <hyperlink ref="N15" r:id="rId13" display="https://ahledger.com/items/4291-silken-thread"/>
    <hyperlink ref="N16" r:id="rId14" display="https://ahledger.com/items/14341-rune-thread"/>
    <hyperlink ref="N17" r:id="rId15" display="https://ahledger.com/items/4340-gray-dye"/>
    <hyperlink ref="N18" r:id="rId16" display="https://ahledger.com/items/2325-black-dye"/>
    <hyperlink ref="N19" r:id="rId17" display="https://ahledger.com/items/10940-strange-dust"/>
    <hyperlink ref="N20" r:id="rId18" display="https://ahledger.com/items/11083-soul-dust"/>
    <hyperlink ref="N21" r:id="rId19" display="https://ahledger.com/items/11137-vision-dust"/>
    <hyperlink ref="N22" r:id="rId20" display="https://ahledger.com/items/11176-dream-dust"/>
    <hyperlink ref="N23" r:id="rId21" display="https://ahledger.com/items/16204-illusion-dust"/>
    <hyperlink ref="N24" r:id="rId22" display="https://ahledger.com/items/10938-lesser-magic-essence"/>
    <hyperlink ref="N25" r:id="rId23" display="https://ahledger.com/items/10939-greater-magic-essence"/>
    <hyperlink ref="N26" r:id="rId24" display="https://ahledger.com/items/10998-lesser-astral-essence"/>
    <hyperlink ref="N27" r:id="rId25" display="https://ahledger.com/items/11082-greater-astral-essence"/>
    <hyperlink ref="N28" r:id="rId26" display="https://ahledger.com/items/11134-lesser-mystic-essence"/>
    <hyperlink ref="N29" r:id="rId27" display="https://ahledger.com/items/11135-greater-mystic-essence"/>
    <hyperlink ref="N30" r:id="rId28" display="https://ahledger.com/items/11174-lesser-nether-essence"/>
    <hyperlink ref="N31" r:id="rId29" display="https://ahledger.com/items/11175-greater-nether-essence"/>
    <hyperlink ref="N32" r:id="rId30" display="https://ahledger.com/items/16202-lesser-eternal-essence"/>
    <hyperlink ref="N33" r:id="rId31" display="https://ahledger.com/items/16203-greater-eternal-essence"/>
    <hyperlink ref="N34" r:id="rId32" display="https://ahledger.com/items/10978-small-glimmering-shard"/>
    <hyperlink ref="N35" r:id="rId33" display="https://ahledger.com/items/11084-large-glimmering-shard"/>
    <hyperlink ref="N36" r:id="rId34" display="https://ahledger.com/items/11138-small-glowing-shard"/>
    <hyperlink ref="N37" r:id="rId35" display="https://ahledger.com/items/11139-large-glowing-shard"/>
    <hyperlink ref="N38" r:id="rId36" display="https://ahledger.com/items/11177-small-radiant-shard"/>
    <hyperlink ref="N39" r:id="rId37" display="https://ahledger.com/items/11178-large-radiant-shard"/>
    <hyperlink ref="N40" r:id="rId38" display="https://ahledger.com/items/14343-small-brilliant-shard"/>
    <hyperlink ref="N41" r:id="rId39" display="https://ahledger.com/items/14344-large-brilliant-shard"/>
    <hyperlink ref="N42" r:id="rId40" display="https://www.wow-professions.com/forever/enchanting-leveling-guide"/>
    <hyperlink ref="N43" r:id="rId41" display="https://ahledger.com/items/6338-silver-rod"/>
    <hyperlink ref="N44" r:id="rId42" display="https://ahledger.com/items/11128-golden-rod"/>
    <hyperlink ref="N45" r:id="rId43" display="https://ahledger.com/items/11144-truesilver-rod"/>
    <hyperlink ref="N46" r:id="rId44" display="https://ahledger.com/items/16206-arcanite-rod"/>
    <hyperlink ref="N47" r:id="rId45" display="https://ahledger.com/items/5500-iridescent-pearl"/>
    <hyperlink ref="N48" r:id="rId46" display="https://ahledger.com/items/7971-black-pearl"/>
    <hyperlink ref="N49" r:id="rId47" display="https://ahledger.com/items/13926-golden-pearl"/>
    <hyperlink ref="N50" r:id="rId48" display="https://ahledger.com/items/1210-shadowgem"/>
    <hyperlink ref="N51" r:id="rId49" display="https://ahledger.com/items/4470-simple-wood"/>
    <hyperlink ref="N52" r:id="rId50" display="https://ahledger.com/items/8831-purple-lotus"/>
    <hyperlink ref="N53" r:id="rId51" display="https://ahledger.com/items/8925-crystal-via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9"/>
    <col collapsed="false" customWidth="true" hidden="false" outlineLevel="0" max="3" min="3" style="0" width="10"/>
    <col collapsed="false" customWidth="true" hidden="false" outlineLevel="0" max="4" min="4" style="0" width="52"/>
    <col collapsed="false" customWidth="true" hidden="false" outlineLevel="0" max="5" min="5" style="0" width="24"/>
    <col collapsed="false" customWidth="true" hidden="false" outlineLevel="0" max="6" min="6" style="0" width="8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10" min="9" style="0" width="9"/>
    <col collapsed="false" customWidth="true" hidden="false" outlineLevel="0" max="11" min="11" style="0" width="48"/>
  </cols>
  <sheetData>
    <row r="1" customFormat="false" ht="15" hidden="false" customHeight="false" outlineLevel="0" collapsed="false">
      <c r="A1" s="3" t="s">
        <v>189</v>
      </c>
    </row>
    <row r="2" customFormat="false" ht="23.85" hidden="false" customHeight="false" outlineLevel="0" collapsed="false">
      <c r="A2" s="6" t="s">
        <v>38</v>
      </c>
      <c r="B2" s="6" t="s">
        <v>190</v>
      </c>
      <c r="C2" s="6" t="s">
        <v>191</v>
      </c>
      <c r="D2" s="6" t="s">
        <v>192</v>
      </c>
      <c r="E2" s="6" t="s">
        <v>37</v>
      </c>
      <c r="F2" s="6" t="s">
        <v>193</v>
      </c>
      <c r="G2" s="6" t="s">
        <v>194</v>
      </c>
      <c r="H2" s="6" t="s">
        <v>195</v>
      </c>
      <c r="I2" s="6" t="s">
        <v>196</v>
      </c>
      <c r="J2" s="6" t="s">
        <v>197</v>
      </c>
      <c r="K2" s="6" t="s">
        <v>103</v>
      </c>
    </row>
    <row r="3" customFormat="false" ht="15" hidden="false" customHeight="false" outlineLevel="0" collapsed="false">
      <c r="A3" s="8" t="s">
        <v>45</v>
      </c>
      <c r="B3" s="8" t="s">
        <v>20</v>
      </c>
      <c r="C3" s="8" t="s">
        <v>198</v>
      </c>
      <c r="D3" s="8" t="s">
        <v>199</v>
      </c>
      <c r="E3" s="8" t="s">
        <v>44</v>
      </c>
      <c r="F3" s="19" t="n">
        <v>90</v>
      </c>
      <c r="G3" s="7" t="n">
        <f aca="false">IFERROR(INDEX(Preise!$L$3:$L$53,MATCH(E3,Preise!$A$3:$A$53,0)),"")</f>
        <v>0.25</v>
      </c>
      <c r="H3" s="10" t="n">
        <f aca="false">IF(G3="","",F3*G3)</f>
        <v>22.5</v>
      </c>
      <c r="I3" s="22" t="n">
        <f aca="false">IF(G3="",1,0)</f>
        <v>0</v>
      </c>
      <c r="J3" s="9" t="n">
        <f aca="false">IF(IFERROR(INDEX(Preise!$M$3:$M$53,MATCH(E3,Preise!$A$3:$A$53,0)),"")="dünn",1,0)</f>
        <v>0</v>
      </c>
      <c r="K3" s="8"/>
    </row>
    <row r="4" customFormat="false" ht="15" hidden="false" customHeight="false" outlineLevel="0" collapsed="false">
      <c r="A4" s="8" t="s">
        <v>45</v>
      </c>
      <c r="B4" s="8" t="s">
        <v>20</v>
      </c>
      <c r="C4" s="8" t="s">
        <v>200</v>
      </c>
      <c r="D4" s="8" t="s">
        <v>201</v>
      </c>
      <c r="E4" s="8" t="s">
        <v>46</v>
      </c>
      <c r="F4" s="19" t="n">
        <v>18</v>
      </c>
      <c r="G4" s="7" t="n">
        <f aca="false">IFERROR(INDEX(Preise!$L$3:$L$53,MATCH(E4,Preise!$A$3:$A$53,0)),"")</f>
        <v>0.5</v>
      </c>
      <c r="H4" s="10" t="n">
        <f aca="false">IF(G4="","",F4*G4)</f>
        <v>9</v>
      </c>
      <c r="I4" s="22" t="n">
        <f aca="false">IF(G4="",1,0)</f>
        <v>0</v>
      </c>
      <c r="J4" s="9" t="n">
        <f aca="false">IF(IFERROR(INDEX(Preise!$M$3:$M$53,MATCH(E4,Preise!$A$3:$A$53,0)),"")="dünn",1,0)</f>
        <v>0</v>
      </c>
      <c r="K4" s="8"/>
    </row>
    <row r="5" customFormat="false" ht="15" hidden="false" customHeight="false" outlineLevel="0" collapsed="false">
      <c r="A5" s="8" t="s">
        <v>45</v>
      </c>
      <c r="B5" s="8" t="s">
        <v>20</v>
      </c>
      <c r="C5" s="8" t="s">
        <v>202</v>
      </c>
      <c r="D5" s="8" t="s">
        <v>203</v>
      </c>
      <c r="E5" s="8" t="s">
        <v>47</v>
      </c>
      <c r="F5" s="19" t="n">
        <v>10</v>
      </c>
      <c r="G5" s="7" t="n">
        <f aca="false">IFERROR(INDEX(Preise!$L$3:$L$53,MATCH(E5,Preise!$A$3:$A$53,0)),"")</f>
        <v>0.69</v>
      </c>
      <c r="H5" s="10" t="n">
        <f aca="false">IF(G5="","",F5*G5)</f>
        <v>6.9</v>
      </c>
      <c r="I5" s="22" t="n">
        <f aca="false">IF(G5="",1,0)</f>
        <v>0</v>
      </c>
      <c r="J5" s="9" t="n">
        <f aca="false">IF(IFERROR(INDEX(Preise!$M$3:$M$53,MATCH(E5,Preise!$A$3:$A$53,0)),"")="dünn",1,0)</f>
        <v>0</v>
      </c>
      <c r="K5" s="8"/>
    </row>
    <row r="6" customFormat="false" ht="15" hidden="false" customHeight="false" outlineLevel="0" collapsed="false">
      <c r="A6" s="8" t="s">
        <v>45</v>
      </c>
      <c r="B6" s="8" t="s">
        <v>20</v>
      </c>
      <c r="C6" s="8" t="s">
        <v>202</v>
      </c>
      <c r="D6" s="8" t="s">
        <v>204</v>
      </c>
      <c r="E6" s="8" t="s">
        <v>48</v>
      </c>
      <c r="F6" s="19" t="n">
        <v>10</v>
      </c>
      <c r="G6" s="7" t="n">
        <f aca="false">IFERROR(INDEX(Preise!$L$3:$L$53,MATCH(E6,Preise!$A$3:$A$53,0)),"")</f>
        <v>0.5</v>
      </c>
      <c r="H6" s="10" t="n">
        <f aca="false">IF(G6="","",F6*G6)</f>
        <v>5</v>
      </c>
      <c r="I6" s="22" t="n">
        <f aca="false">IF(G6="",1,0)</f>
        <v>0</v>
      </c>
      <c r="J6" s="9" t="n">
        <f aca="false">IF(IFERROR(INDEX(Preise!$M$3:$M$53,MATCH(E6,Preise!$A$3:$A$53,0)),"")="dünn",1,0)</f>
        <v>0</v>
      </c>
      <c r="K6" s="8"/>
    </row>
    <row r="7" customFormat="false" ht="15" hidden="false" customHeight="false" outlineLevel="0" collapsed="false">
      <c r="A7" s="8" t="s">
        <v>45</v>
      </c>
      <c r="B7" s="8" t="s">
        <v>20</v>
      </c>
      <c r="C7" s="8" t="s">
        <v>205</v>
      </c>
      <c r="D7" s="8" t="s">
        <v>206</v>
      </c>
      <c r="E7" s="8" t="s">
        <v>46</v>
      </c>
      <c r="F7" s="19" t="n">
        <v>90</v>
      </c>
      <c r="G7" s="7" t="n">
        <f aca="false">IFERROR(INDEX(Preise!$L$3:$L$53,MATCH(E7,Preise!$A$3:$A$53,0)),"")</f>
        <v>0.5</v>
      </c>
      <c r="H7" s="10" t="n">
        <f aca="false">IF(G7="","",F7*G7)</f>
        <v>45</v>
      </c>
      <c r="I7" s="22" t="n">
        <f aca="false">IF(G7="",1,0)</f>
        <v>0</v>
      </c>
      <c r="J7" s="9" t="n">
        <f aca="false">IF(IFERROR(INDEX(Preise!$M$3:$M$53,MATCH(E7,Preise!$A$3:$A$53,0)),"")="dünn",1,0)</f>
        <v>0</v>
      </c>
      <c r="K7" s="8" t="s">
        <v>207</v>
      </c>
    </row>
    <row r="8" customFormat="false" ht="15" hidden="false" customHeight="false" outlineLevel="0" collapsed="false">
      <c r="A8" s="8" t="s">
        <v>45</v>
      </c>
      <c r="B8" s="8" t="s">
        <v>20</v>
      </c>
      <c r="C8" s="8" t="s">
        <v>205</v>
      </c>
      <c r="D8" s="8" t="s">
        <v>208</v>
      </c>
      <c r="E8" s="8" t="s">
        <v>50</v>
      </c>
      <c r="F8" s="19" t="n">
        <v>60</v>
      </c>
      <c r="G8" s="7" t="n">
        <f aca="false">IFERROR(INDEX(Preise!$L$3:$L$53,MATCH(E8,Preise!$A$3:$A$53,0)),"")</f>
        <v>0.1</v>
      </c>
      <c r="H8" s="10" t="n">
        <f aca="false">IF(G8="","",F8*G8)</f>
        <v>6</v>
      </c>
      <c r="I8" s="22" t="n">
        <f aca="false">IF(G8="",1,0)</f>
        <v>0</v>
      </c>
      <c r="J8" s="9" t="n">
        <f aca="false">IF(IFERROR(INDEX(Preise!$M$3:$M$53,MATCH(E8,Preise!$A$3:$A$53,0)),"")="dünn",1,0)</f>
        <v>0</v>
      </c>
      <c r="K8" s="8"/>
    </row>
    <row r="9" customFormat="false" ht="15" hidden="false" customHeight="false" outlineLevel="0" collapsed="false">
      <c r="A9" s="8" t="s">
        <v>45</v>
      </c>
      <c r="B9" s="8" t="s">
        <v>20</v>
      </c>
      <c r="C9" s="8" t="s">
        <v>209</v>
      </c>
      <c r="D9" s="8" t="s">
        <v>210</v>
      </c>
      <c r="E9" s="8" t="s">
        <v>46</v>
      </c>
      <c r="F9" s="19" t="n">
        <v>90</v>
      </c>
      <c r="G9" s="7" t="n">
        <f aca="false">IFERROR(INDEX(Preise!$L$3:$L$53,MATCH(E9,Preise!$A$3:$A$53,0)),"")</f>
        <v>0.5</v>
      </c>
      <c r="H9" s="10" t="n">
        <f aca="false">IF(G9="","",F9*G9)</f>
        <v>45</v>
      </c>
      <c r="I9" s="22" t="n">
        <f aca="false">IF(G9="",1,0)</f>
        <v>0</v>
      </c>
      <c r="J9" s="9" t="n">
        <f aca="false">IF(IFERROR(INDEX(Preise!$M$3:$M$53,MATCH(E9,Preise!$A$3:$A$53,0)),"")="dünn",1,0)</f>
        <v>0</v>
      </c>
      <c r="K9" s="8" t="s">
        <v>211</v>
      </c>
    </row>
    <row r="10" customFormat="false" ht="15" hidden="false" customHeight="false" outlineLevel="0" collapsed="false">
      <c r="A10" s="8" t="s">
        <v>45</v>
      </c>
      <c r="B10" s="8" t="s">
        <v>20</v>
      </c>
      <c r="C10" s="8" t="s">
        <v>209</v>
      </c>
      <c r="D10" s="8" t="s">
        <v>212</v>
      </c>
      <c r="E10" s="8" t="s">
        <v>50</v>
      </c>
      <c r="F10" s="19" t="n">
        <v>30</v>
      </c>
      <c r="G10" s="7" t="n">
        <f aca="false">IFERROR(INDEX(Preise!$L$3:$L$53,MATCH(E10,Preise!$A$3:$A$53,0)),"")</f>
        <v>0.1</v>
      </c>
      <c r="H10" s="10" t="n">
        <f aca="false">IF(G10="","",F10*G10)</f>
        <v>3</v>
      </c>
      <c r="I10" s="22" t="n">
        <f aca="false">IF(G10="",1,0)</f>
        <v>0</v>
      </c>
      <c r="J10" s="9" t="n">
        <f aca="false">IF(IFERROR(INDEX(Preise!$M$3:$M$53,MATCH(E10,Preise!$A$3:$A$53,0)),"")="dünn",1,0)</f>
        <v>0</v>
      </c>
      <c r="K10" s="8"/>
    </row>
    <row r="11" customFormat="false" ht="15" hidden="false" customHeight="false" outlineLevel="0" collapsed="false">
      <c r="A11" s="8" t="s">
        <v>45</v>
      </c>
      <c r="B11" s="8" t="s">
        <v>21</v>
      </c>
      <c r="C11" s="8" t="s">
        <v>213</v>
      </c>
      <c r="D11" s="8" t="s">
        <v>214</v>
      </c>
      <c r="E11" s="8" t="s">
        <v>51</v>
      </c>
      <c r="F11" s="19" t="n">
        <v>15</v>
      </c>
      <c r="G11" s="7" t="n">
        <f aca="false">IFERROR(INDEX(Preise!$L$3:$L$53,MATCH(E11,Preise!$A$3:$A$53,0)),"")</f>
        <v>8.88</v>
      </c>
      <c r="H11" s="10" t="n">
        <f aca="false">IF(G11="","",F11*G11)</f>
        <v>133.2</v>
      </c>
      <c r="I11" s="22" t="n">
        <f aca="false">IF(G11="",1,0)</f>
        <v>0</v>
      </c>
      <c r="J11" s="9" t="n">
        <f aca="false">IF(IFERROR(INDEX(Preise!$M$3:$M$53,MATCH(E11,Preise!$A$3:$A$53,0)),"")="dünn",1,0)</f>
        <v>0</v>
      </c>
      <c r="K11" s="8" t="s">
        <v>211</v>
      </c>
    </row>
    <row r="12" customFormat="false" ht="15" hidden="false" customHeight="false" outlineLevel="0" collapsed="false">
      <c r="A12" s="8" t="s">
        <v>45</v>
      </c>
      <c r="B12" s="8" t="s">
        <v>21</v>
      </c>
      <c r="C12" s="8" t="s">
        <v>213</v>
      </c>
      <c r="D12" s="8" t="s">
        <v>215</v>
      </c>
      <c r="E12" s="8" t="s">
        <v>48</v>
      </c>
      <c r="F12" s="19" t="n">
        <v>15</v>
      </c>
      <c r="G12" s="7" t="n">
        <f aca="false">IFERROR(INDEX(Preise!$L$3:$L$53,MATCH(E12,Preise!$A$3:$A$53,0)),"")</f>
        <v>0.5</v>
      </c>
      <c r="H12" s="10" t="n">
        <f aca="false">IF(G12="","",F12*G12)</f>
        <v>7.5</v>
      </c>
      <c r="I12" s="22" t="n">
        <f aca="false">IF(G12="",1,0)</f>
        <v>0</v>
      </c>
      <c r="J12" s="9" t="n">
        <f aca="false">IF(IFERROR(INDEX(Preise!$M$3:$M$53,MATCH(E12,Preise!$A$3:$A$53,0)),"")="dünn",1,0)</f>
        <v>0</v>
      </c>
      <c r="K12" s="8"/>
    </row>
    <row r="13" customFormat="false" ht="15" hidden="false" customHeight="false" outlineLevel="0" collapsed="false">
      <c r="A13" s="8" t="s">
        <v>45</v>
      </c>
      <c r="B13" s="8" t="s">
        <v>21</v>
      </c>
      <c r="C13" s="8" t="s">
        <v>216</v>
      </c>
      <c r="D13" s="8" t="s">
        <v>217</v>
      </c>
      <c r="E13" s="8" t="s">
        <v>52</v>
      </c>
      <c r="F13" s="19" t="n">
        <v>40</v>
      </c>
      <c r="G13" s="7" t="n">
        <f aca="false">IFERROR(INDEX(Preise!$L$3:$L$53,MATCH(E13,Preise!$A$3:$A$53,0)),"")</f>
        <v>1.91</v>
      </c>
      <c r="H13" s="10" t="n">
        <f aca="false">IF(G13="","",F13*G13)</f>
        <v>76.4</v>
      </c>
      <c r="I13" s="22" t="n">
        <f aca="false">IF(G13="",1,0)</f>
        <v>0</v>
      </c>
      <c r="J13" s="9" t="n">
        <f aca="false">IF(IFERROR(INDEX(Preise!$M$3:$M$53,MATCH(E13,Preise!$A$3:$A$53,0)),"")="dünn",1,0)</f>
        <v>0</v>
      </c>
      <c r="K13" s="8"/>
    </row>
    <row r="14" customFormat="false" ht="15" hidden="false" customHeight="false" outlineLevel="0" collapsed="false">
      <c r="A14" s="8" t="s">
        <v>45</v>
      </c>
      <c r="B14" s="8" t="s">
        <v>21</v>
      </c>
      <c r="C14" s="8" t="s">
        <v>216</v>
      </c>
      <c r="D14" s="8" t="s">
        <v>218</v>
      </c>
      <c r="E14" s="8" t="s">
        <v>53</v>
      </c>
      <c r="F14" s="19" t="n">
        <v>20</v>
      </c>
      <c r="G14" s="7" t="n">
        <f aca="false">IFERROR(INDEX(Preise!$L$3:$L$53,MATCH(E14,Preise!$A$3:$A$53,0)),"")</f>
        <v>1</v>
      </c>
      <c r="H14" s="10" t="n">
        <f aca="false">IF(G14="","",F14*G14)</f>
        <v>20</v>
      </c>
      <c r="I14" s="22" t="n">
        <f aca="false">IF(G14="",1,0)</f>
        <v>0</v>
      </c>
      <c r="J14" s="9" t="n">
        <f aca="false">IF(IFERROR(INDEX(Preise!$M$3:$M$53,MATCH(E14,Preise!$A$3:$A$53,0)),"")="dünn",1,0)</f>
        <v>0</v>
      </c>
      <c r="K14" s="8"/>
    </row>
    <row r="15" customFormat="false" ht="15" hidden="false" customHeight="false" outlineLevel="0" collapsed="false">
      <c r="A15" s="8" t="s">
        <v>45</v>
      </c>
      <c r="B15" s="8" t="s">
        <v>21</v>
      </c>
      <c r="C15" s="8" t="s">
        <v>216</v>
      </c>
      <c r="D15" s="8" t="s">
        <v>218</v>
      </c>
      <c r="E15" s="8" t="s">
        <v>54</v>
      </c>
      <c r="F15" s="19" t="n">
        <v>10</v>
      </c>
      <c r="G15" s="7" t="n">
        <f aca="false">IFERROR(INDEX(Preise!$L$3:$L$53,MATCH(E15,Preise!$A$3:$A$53,0)),"")</f>
        <v>3.5</v>
      </c>
      <c r="H15" s="10" t="n">
        <f aca="false">IF(G15="","",F15*G15)</f>
        <v>35</v>
      </c>
      <c r="I15" s="22" t="n">
        <f aca="false">IF(G15="",1,0)</f>
        <v>0</v>
      </c>
      <c r="J15" s="9" t="n">
        <f aca="false">IF(IFERROR(INDEX(Preise!$M$3:$M$53,MATCH(E15,Preise!$A$3:$A$53,0)),"")="dünn",1,0)</f>
        <v>0</v>
      </c>
      <c r="K15" s="8"/>
    </row>
    <row r="16" customFormat="false" ht="15" hidden="false" customHeight="false" outlineLevel="0" collapsed="false">
      <c r="A16" s="8" t="s">
        <v>45</v>
      </c>
      <c r="B16" s="8" t="s">
        <v>21</v>
      </c>
      <c r="C16" s="8" t="s">
        <v>219</v>
      </c>
      <c r="D16" s="8" t="s">
        <v>220</v>
      </c>
      <c r="E16" s="8" t="s">
        <v>52</v>
      </c>
      <c r="F16" s="19" t="n">
        <v>48</v>
      </c>
      <c r="G16" s="7" t="n">
        <f aca="false">IFERROR(INDEX(Preise!$L$3:$L$53,MATCH(E16,Preise!$A$3:$A$53,0)),"")</f>
        <v>1.91</v>
      </c>
      <c r="H16" s="10" t="n">
        <f aca="false">IF(G16="","",F16*G16)</f>
        <v>91.68</v>
      </c>
      <c r="I16" s="22" t="n">
        <f aca="false">IF(G16="",1,0)</f>
        <v>0</v>
      </c>
      <c r="J16" s="9" t="n">
        <f aca="false">IF(IFERROR(INDEX(Preise!$M$3:$M$53,MATCH(E16,Preise!$A$3:$A$53,0)),"")="dünn",1,0)</f>
        <v>0</v>
      </c>
      <c r="K16" s="8"/>
    </row>
    <row r="17" customFormat="false" ht="15" hidden="false" customHeight="false" outlineLevel="0" collapsed="false">
      <c r="A17" s="8" t="s">
        <v>45</v>
      </c>
      <c r="B17" s="8" t="s">
        <v>21</v>
      </c>
      <c r="C17" s="8" t="s">
        <v>219</v>
      </c>
      <c r="D17" s="8" t="s">
        <v>221</v>
      </c>
      <c r="E17" s="8" t="s">
        <v>53</v>
      </c>
      <c r="F17" s="19" t="n">
        <v>24</v>
      </c>
      <c r="G17" s="7" t="n">
        <f aca="false">IFERROR(INDEX(Preise!$L$3:$L$53,MATCH(E17,Preise!$A$3:$A$53,0)),"")</f>
        <v>1</v>
      </c>
      <c r="H17" s="10" t="n">
        <f aca="false">IF(G17="","",F17*G17)</f>
        <v>24</v>
      </c>
      <c r="I17" s="22" t="n">
        <f aca="false">IF(G17="",1,0)</f>
        <v>0</v>
      </c>
      <c r="J17" s="9" t="n">
        <f aca="false">IF(IFERROR(INDEX(Preise!$M$3:$M$53,MATCH(E17,Preise!$A$3:$A$53,0)),"")="dünn",1,0)</f>
        <v>0</v>
      </c>
      <c r="K17" s="8"/>
    </row>
    <row r="18" customFormat="false" ht="15" hidden="false" customHeight="false" outlineLevel="0" collapsed="false">
      <c r="A18" s="8" t="s">
        <v>45</v>
      </c>
      <c r="B18" s="8" t="s">
        <v>21</v>
      </c>
      <c r="C18" s="8" t="s">
        <v>219</v>
      </c>
      <c r="D18" s="8" t="s">
        <v>221</v>
      </c>
      <c r="E18" s="8" t="s">
        <v>54</v>
      </c>
      <c r="F18" s="19" t="n">
        <v>12</v>
      </c>
      <c r="G18" s="7" t="n">
        <f aca="false">IFERROR(INDEX(Preise!$L$3:$L$53,MATCH(E18,Preise!$A$3:$A$53,0)),"")</f>
        <v>3.5</v>
      </c>
      <c r="H18" s="10" t="n">
        <f aca="false">IF(G18="","",F18*G18)</f>
        <v>42</v>
      </c>
      <c r="I18" s="22" t="n">
        <f aca="false">IF(G18="",1,0)</f>
        <v>0</v>
      </c>
      <c r="J18" s="9" t="n">
        <f aca="false">IF(IFERROR(INDEX(Preise!$M$3:$M$53,MATCH(E18,Preise!$A$3:$A$53,0)),"")="dünn",1,0)</f>
        <v>0</v>
      </c>
      <c r="K18" s="8"/>
    </row>
    <row r="19" customFormat="false" ht="15" hidden="false" customHeight="false" outlineLevel="0" collapsed="false">
      <c r="A19" s="8" t="s">
        <v>45</v>
      </c>
      <c r="B19" s="8" t="s">
        <v>21</v>
      </c>
      <c r="C19" s="8" t="s">
        <v>222</v>
      </c>
      <c r="D19" s="8" t="s">
        <v>223</v>
      </c>
      <c r="E19" s="8" t="s">
        <v>53</v>
      </c>
      <c r="F19" s="19" t="n">
        <v>30</v>
      </c>
      <c r="G19" s="7" t="n">
        <f aca="false">IFERROR(INDEX(Preise!$L$3:$L$53,MATCH(E19,Preise!$A$3:$A$53,0)),"")</f>
        <v>1</v>
      </c>
      <c r="H19" s="10" t="n">
        <f aca="false">IF(G19="","",F19*G19)</f>
        <v>30</v>
      </c>
      <c r="I19" s="22" t="n">
        <f aca="false">IF(G19="",1,0)</f>
        <v>0</v>
      </c>
      <c r="J19" s="9" t="n">
        <f aca="false">IF(IFERROR(INDEX(Preise!$M$3:$M$53,MATCH(E19,Preise!$A$3:$A$53,0)),"")="dünn",1,0)</f>
        <v>0</v>
      </c>
      <c r="K19" s="8"/>
    </row>
    <row r="20" customFormat="false" ht="15" hidden="false" customHeight="false" outlineLevel="0" collapsed="false">
      <c r="A20" s="8" t="s">
        <v>45</v>
      </c>
      <c r="B20" s="8" t="s">
        <v>21</v>
      </c>
      <c r="C20" s="8" t="s">
        <v>222</v>
      </c>
      <c r="D20" s="8" t="s">
        <v>224</v>
      </c>
      <c r="E20" s="8" t="s">
        <v>54</v>
      </c>
      <c r="F20" s="19" t="n">
        <v>15</v>
      </c>
      <c r="G20" s="7" t="n">
        <f aca="false">IFERROR(INDEX(Preise!$L$3:$L$53,MATCH(E20,Preise!$A$3:$A$53,0)),"")</f>
        <v>3.5</v>
      </c>
      <c r="H20" s="10" t="n">
        <f aca="false">IF(G20="","",F20*G20)</f>
        <v>52.5</v>
      </c>
      <c r="I20" s="22" t="n">
        <f aca="false">IF(G20="",1,0)</f>
        <v>0</v>
      </c>
      <c r="J20" s="9" t="n">
        <f aca="false">IF(IFERROR(INDEX(Preise!$M$3:$M$53,MATCH(E20,Preise!$A$3:$A$53,0)),"")="dünn",1,0)</f>
        <v>0</v>
      </c>
      <c r="K20" s="8"/>
    </row>
    <row r="21" customFormat="false" ht="15" hidden="false" customHeight="false" outlineLevel="0" collapsed="false">
      <c r="A21" s="8" t="s">
        <v>45</v>
      </c>
      <c r="B21" s="8" t="s">
        <v>22</v>
      </c>
      <c r="C21" s="8" t="s">
        <v>225</v>
      </c>
      <c r="D21" s="8" t="s">
        <v>226</v>
      </c>
      <c r="E21" s="8" t="s">
        <v>52</v>
      </c>
      <c r="F21" s="19" t="n">
        <v>25</v>
      </c>
      <c r="G21" s="7" t="n">
        <f aca="false">IFERROR(INDEX(Preise!$L$3:$L$53,MATCH(E21,Preise!$A$3:$A$53,0)),"")</f>
        <v>1.91</v>
      </c>
      <c r="H21" s="10" t="n">
        <f aca="false">IF(G21="","",F21*G21)</f>
        <v>47.75</v>
      </c>
      <c r="I21" s="22" t="n">
        <f aca="false">IF(G21="",1,0)</f>
        <v>0</v>
      </c>
      <c r="J21" s="9" t="n">
        <f aca="false">IF(IFERROR(INDEX(Preise!$M$3:$M$53,MATCH(E21,Preise!$A$3:$A$53,0)),"")="dünn",1,0)</f>
        <v>0</v>
      </c>
      <c r="K21" s="8" t="s">
        <v>227</v>
      </c>
    </row>
    <row r="22" customFormat="false" ht="15" hidden="false" customHeight="false" outlineLevel="0" collapsed="false">
      <c r="A22" s="8" t="s">
        <v>45</v>
      </c>
      <c r="B22" s="8" t="s">
        <v>22</v>
      </c>
      <c r="C22" s="8" t="s">
        <v>228</v>
      </c>
      <c r="D22" s="8" t="s">
        <v>229</v>
      </c>
      <c r="E22" s="8" t="s">
        <v>55</v>
      </c>
      <c r="F22" s="19" t="n">
        <v>5</v>
      </c>
      <c r="G22" s="7" t="n">
        <f aca="false">IFERROR(INDEX(Preise!$L$3:$L$53,MATCH(E22,Preise!$A$3:$A$53,0)),"")</f>
        <v>35.4</v>
      </c>
      <c r="H22" s="10" t="n">
        <f aca="false">IF(G22="","",F22*G22)</f>
        <v>177</v>
      </c>
      <c r="I22" s="22" t="n">
        <f aca="false">IF(G22="",1,0)</f>
        <v>0</v>
      </c>
      <c r="J22" s="9" t="n">
        <f aca="false">IF(IFERROR(INDEX(Preise!$M$3:$M$53,MATCH(E22,Preise!$A$3:$A$53,0)),"")="dünn",1,0)</f>
        <v>0</v>
      </c>
      <c r="K22" s="8"/>
    </row>
    <row r="23" customFormat="false" ht="15" hidden="false" customHeight="false" outlineLevel="0" collapsed="false">
      <c r="A23" s="8" t="s">
        <v>45</v>
      </c>
      <c r="B23" s="8" t="s">
        <v>22</v>
      </c>
      <c r="C23" s="8" t="s">
        <v>228</v>
      </c>
      <c r="D23" s="8" t="s">
        <v>230</v>
      </c>
      <c r="E23" s="8" t="s">
        <v>48</v>
      </c>
      <c r="F23" s="19" t="n">
        <v>15</v>
      </c>
      <c r="G23" s="7" t="n">
        <f aca="false">IFERROR(INDEX(Preise!$L$3:$L$53,MATCH(E23,Preise!$A$3:$A$53,0)),"")</f>
        <v>0.5</v>
      </c>
      <c r="H23" s="10" t="n">
        <f aca="false">IF(G23="","",F23*G23)</f>
        <v>7.5</v>
      </c>
      <c r="I23" s="22" t="n">
        <f aca="false">IF(G23="",1,0)</f>
        <v>0</v>
      </c>
      <c r="J23" s="9" t="n">
        <f aca="false">IF(IFERROR(INDEX(Preise!$M$3:$M$53,MATCH(E23,Preise!$A$3:$A$53,0)),"")="dünn",1,0)</f>
        <v>0</v>
      </c>
      <c r="K23" s="8"/>
    </row>
    <row r="24" customFormat="false" ht="15" hidden="false" customHeight="false" outlineLevel="0" collapsed="false">
      <c r="A24" s="8" t="s">
        <v>45</v>
      </c>
      <c r="B24" s="8" t="s">
        <v>22</v>
      </c>
      <c r="C24" s="8" t="s">
        <v>231</v>
      </c>
      <c r="D24" s="8" t="s">
        <v>232</v>
      </c>
      <c r="E24" s="8" t="s">
        <v>57</v>
      </c>
      <c r="F24" s="19" t="n">
        <v>110</v>
      </c>
      <c r="G24" s="7" t="n">
        <f aca="false">IFERROR(INDEX(Preise!$L$3:$L$53,MATCH(E24,Preise!$A$3:$A$53,0)),"")</f>
        <v>11.98</v>
      </c>
      <c r="H24" s="10" t="n">
        <f aca="false">IF(G24="","",F24*G24)</f>
        <v>1317.8</v>
      </c>
      <c r="I24" s="22" t="n">
        <f aca="false">IF(G24="",1,0)</f>
        <v>0</v>
      </c>
      <c r="J24" s="9" t="n">
        <f aca="false">IF(IFERROR(INDEX(Preise!$M$3:$M$53,MATCH(E24,Preise!$A$3:$A$53,0)),"")="dünn",1,0)</f>
        <v>0</v>
      </c>
      <c r="K24" s="8"/>
    </row>
    <row r="25" customFormat="false" ht="15" hidden="false" customHeight="false" outlineLevel="0" collapsed="false">
      <c r="A25" s="8" t="s">
        <v>45</v>
      </c>
      <c r="B25" s="8" t="s">
        <v>22</v>
      </c>
      <c r="C25" s="8" t="s">
        <v>231</v>
      </c>
      <c r="D25" s="8" t="s">
        <v>233</v>
      </c>
      <c r="E25" s="8" t="s">
        <v>53</v>
      </c>
      <c r="F25" s="19" t="n">
        <v>22</v>
      </c>
      <c r="G25" s="7" t="n">
        <f aca="false">IFERROR(INDEX(Preise!$L$3:$L$53,MATCH(E25,Preise!$A$3:$A$53,0)),"")</f>
        <v>1</v>
      </c>
      <c r="H25" s="10" t="n">
        <f aca="false">IF(G25="","",F25*G25)</f>
        <v>22</v>
      </c>
      <c r="I25" s="22" t="n">
        <f aca="false">IF(G25="",1,0)</f>
        <v>0</v>
      </c>
      <c r="J25" s="9" t="n">
        <f aca="false">IF(IFERROR(INDEX(Preise!$M$3:$M$53,MATCH(E25,Preise!$A$3:$A$53,0)),"")="dünn",1,0)</f>
        <v>0</v>
      </c>
      <c r="K25" s="8"/>
    </row>
    <row r="26" customFormat="false" ht="15" hidden="false" customHeight="false" outlineLevel="0" collapsed="false">
      <c r="A26" s="8" t="s">
        <v>45</v>
      </c>
      <c r="B26" s="8" t="s">
        <v>22</v>
      </c>
      <c r="C26" s="8" t="s">
        <v>234</v>
      </c>
      <c r="D26" s="8" t="s">
        <v>235</v>
      </c>
      <c r="E26" s="8" t="s">
        <v>57</v>
      </c>
      <c r="F26" s="19" t="n">
        <v>80</v>
      </c>
      <c r="G26" s="7" t="n">
        <f aca="false">IFERROR(INDEX(Preise!$L$3:$L$53,MATCH(E26,Preise!$A$3:$A$53,0)),"")</f>
        <v>11.98</v>
      </c>
      <c r="H26" s="10" t="n">
        <f aca="false">IF(G26="","",F26*G26)</f>
        <v>958.4</v>
      </c>
      <c r="I26" s="22" t="n">
        <f aca="false">IF(G26="",1,0)</f>
        <v>0</v>
      </c>
      <c r="J26" s="9" t="n">
        <f aca="false">IF(IFERROR(INDEX(Preise!$M$3:$M$53,MATCH(E26,Preise!$A$3:$A$53,0)),"")="dünn",1,0)</f>
        <v>0</v>
      </c>
      <c r="K26" s="8"/>
    </row>
    <row r="27" customFormat="false" ht="15" hidden="false" customHeight="false" outlineLevel="0" collapsed="false">
      <c r="A27" s="8" t="s">
        <v>45</v>
      </c>
      <c r="B27" s="8" t="s">
        <v>22</v>
      </c>
      <c r="C27" s="8" t="s">
        <v>234</v>
      </c>
      <c r="D27" s="8" t="s">
        <v>236</v>
      </c>
      <c r="E27" s="8" t="s">
        <v>53</v>
      </c>
      <c r="F27" s="19" t="n">
        <v>20</v>
      </c>
      <c r="G27" s="7" t="n">
        <f aca="false">IFERROR(INDEX(Preise!$L$3:$L$53,MATCH(E27,Preise!$A$3:$A$53,0)),"")</f>
        <v>1</v>
      </c>
      <c r="H27" s="10" t="n">
        <f aca="false">IF(G27="","",F27*G27)</f>
        <v>20</v>
      </c>
      <c r="I27" s="22" t="n">
        <f aca="false">IF(G27="",1,0)</f>
        <v>0</v>
      </c>
      <c r="J27" s="9" t="n">
        <f aca="false">IF(IFERROR(INDEX(Preise!$M$3:$M$53,MATCH(E27,Preise!$A$3:$A$53,0)),"")="dünn",1,0)</f>
        <v>0</v>
      </c>
      <c r="K27" s="8"/>
    </row>
    <row r="28" customFormat="false" ht="15" hidden="false" customHeight="false" outlineLevel="0" collapsed="false">
      <c r="A28" s="8" t="s">
        <v>45</v>
      </c>
      <c r="B28" s="8" t="s">
        <v>22</v>
      </c>
      <c r="C28" s="8" t="s">
        <v>237</v>
      </c>
      <c r="D28" s="8" t="s">
        <v>238</v>
      </c>
      <c r="E28" s="8" t="s">
        <v>57</v>
      </c>
      <c r="F28" s="19" t="n">
        <v>40</v>
      </c>
      <c r="G28" s="7" t="n">
        <f aca="false">IFERROR(INDEX(Preise!$L$3:$L$53,MATCH(E28,Preise!$A$3:$A$53,0)),"")</f>
        <v>11.98</v>
      </c>
      <c r="H28" s="10" t="n">
        <f aca="false">IF(G28="","",F28*G28)</f>
        <v>479.2</v>
      </c>
      <c r="I28" s="22" t="n">
        <f aca="false">IF(G28="",1,0)</f>
        <v>0</v>
      </c>
      <c r="J28" s="9" t="n">
        <f aca="false">IF(IFERROR(INDEX(Preise!$M$3:$M$53,MATCH(E28,Preise!$A$3:$A$53,0)),"")="dünn",1,0)</f>
        <v>0</v>
      </c>
      <c r="K28" s="8"/>
    </row>
    <row r="29" customFormat="false" ht="15" hidden="false" customHeight="false" outlineLevel="0" collapsed="false">
      <c r="A29" s="8" t="s">
        <v>45</v>
      </c>
      <c r="B29" s="8" t="s">
        <v>22</v>
      </c>
      <c r="C29" s="8" t="s">
        <v>237</v>
      </c>
      <c r="D29" s="8" t="s">
        <v>239</v>
      </c>
      <c r="E29" s="8" t="s">
        <v>58</v>
      </c>
      <c r="F29" s="19" t="n">
        <v>10</v>
      </c>
      <c r="G29" s="7" t="n">
        <f aca="false">IFERROR(INDEX(Preise!$L$3:$L$53,MATCH(E29,Preise!$A$3:$A$53,0)),"")</f>
        <v>5</v>
      </c>
      <c r="H29" s="10" t="n">
        <f aca="false">IF(G29="","",F29*G29)</f>
        <v>50</v>
      </c>
      <c r="I29" s="22" t="n">
        <f aca="false">IF(G29="",1,0)</f>
        <v>0</v>
      </c>
      <c r="J29" s="9" t="n">
        <f aca="false">IF(IFERROR(INDEX(Preise!$M$3:$M$53,MATCH(E29,Preise!$A$3:$A$53,0)),"")="dünn",1,0)</f>
        <v>0</v>
      </c>
      <c r="K29" s="8"/>
    </row>
    <row r="30" customFormat="false" ht="15" hidden="false" customHeight="false" outlineLevel="0" collapsed="false">
      <c r="A30" s="8" t="s">
        <v>45</v>
      </c>
      <c r="B30" s="8" t="s">
        <v>22</v>
      </c>
      <c r="C30" s="8" t="s">
        <v>240</v>
      </c>
      <c r="D30" s="8" t="s">
        <v>241</v>
      </c>
      <c r="E30" s="8" t="s">
        <v>55</v>
      </c>
      <c r="F30" s="19" t="n">
        <v>15</v>
      </c>
      <c r="G30" s="7" t="n">
        <f aca="false">IFERROR(INDEX(Preise!$L$3:$L$53,MATCH(E30,Preise!$A$3:$A$53,0)),"")</f>
        <v>35.4</v>
      </c>
      <c r="H30" s="10" t="n">
        <f aca="false">IF(G30="","",F30*G30)</f>
        <v>531</v>
      </c>
      <c r="I30" s="22" t="n">
        <f aca="false">IF(G30="",1,0)</f>
        <v>0</v>
      </c>
      <c r="J30" s="9" t="n">
        <f aca="false">IF(IFERROR(INDEX(Preise!$M$3:$M$53,MATCH(E30,Preise!$A$3:$A$53,0)),"")="dünn",1,0)</f>
        <v>0</v>
      </c>
      <c r="K30" s="8" t="s">
        <v>242</v>
      </c>
    </row>
    <row r="31" customFormat="false" ht="15" hidden="false" customHeight="false" outlineLevel="0" collapsed="false">
      <c r="A31" s="8" t="s">
        <v>45</v>
      </c>
      <c r="B31" s="8" t="s">
        <v>22</v>
      </c>
      <c r="C31" s="8" t="s">
        <v>240</v>
      </c>
      <c r="D31" s="8" t="s">
        <v>243</v>
      </c>
      <c r="E31" s="8" t="s">
        <v>48</v>
      </c>
      <c r="F31" s="19" t="n">
        <v>45</v>
      </c>
      <c r="G31" s="7" t="n">
        <f aca="false">IFERROR(INDEX(Preise!$L$3:$L$53,MATCH(E31,Preise!$A$3:$A$53,0)),"")</f>
        <v>0.5</v>
      </c>
      <c r="H31" s="10" t="n">
        <f aca="false">IF(G31="","",F31*G31)</f>
        <v>22.5</v>
      </c>
      <c r="I31" s="22" t="n">
        <f aca="false">IF(G31="",1,0)</f>
        <v>0</v>
      </c>
      <c r="J31" s="9" t="n">
        <f aca="false">IF(IFERROR(INDEX(Preise!$M$3:$M$53,MATCH(E31,Preise!$A$3:$A$53,0)),"")="dünn",1,0)</f>
        <v>0</v>
      </c>
      <c r="K31" s="8"/>
    </row>
    <row r="32" customFormat="false" ht="15" hidden="false" customHeight="false" outlineLevel="0" collapsed="false">
      <c r="A32" s="8" t="s">
        <v>45</v>
      </c>
      <c r="B32" s="8" t="s">
        <v>23</v>
      </c>
      <c r="C32" s="8" t="s">
        <v>244</v>
      </c>
      <c r="D32" s="8" t="s">
        <v>245</v>
      </c>
      <c r="E32" s="8" t="s">
        <v>59</v>
      </c>
      <c r="F32" s="19" t="n">
        <v>100</v>
      </c>
      <c r="G32" s="7" t="n">
        <f aca="false">IFERROR(INDEX(Preise!$L$3:$L$53,MATCH(E32,Preise!$A$3:$A$53,0)),"")</f>
        <v>35.79</v>
      </c>
      <c r="H32" s="10" t="n">
        <f aca="false">IF(G32="","",F32*G32)</f>
        <v>3579</v>
      </c>
      <c r="I32" s="22" t="n">
        <f aca="false">IF(G32="",1,0)</f>
        <v>0</v>
      </c>
      <c r="J32" s="9" t="n">
        <f aca="false">IF(IFERROR(INDEX(Preise!$M$3:$M$53,MATCH(E32,Preise!$A$3:$A$53,0)),"")="dünn",1,0)</f>
        <v>0</v>
      </c>
      <c r="K32" s="8"/>
    </row>
    <row r="33" customFormat="false" ht="15" hidden="false" customHeight="false" outlineLevel="0" collapsed="false">
      <c r="A33" s="8" t="s">
        <v>45</v>
      </c>
      <c r="B33" s="8" t="s">
        <v>23</v>
      </c>
      <c r="C33" s="8" t="s">
        <v>244</v>
      </c>
      <c r="D33" s="8" t="s">
        <v>246</v>
      </c>
      <c r="E33" s="8" t="s">
        <v>58</v>
      </c>
      <c r="F33" s="19" t="n">
        <v>20</v>
      </c>
      <c r="G33" s="7" t="n">
        <f aca="false">IFERROR(INDEX(Preise!$L$3:$L$53,MATCH(E33,Preise!$A$3:$A$53,0)),"")</f>
        <v>5</v>
      </c>
      <c r="H33" s="10" t="n">
        <f aca="false">IF(G33="","",F33*G33)</f>
        <v>100</v>
      </c>
      <c r="I33" s="22" t="n">
        <f aca="false">IF(G33="",1,0)</f>
        <v>0</v>
      </c>
      <c r="J33" s="9" t="n">
        <f aca="false">IF(IFERROR(INDEX(Preise!$M$3:$M$53,MATCH(E33,Preise!$A$3:$A$53,0)),"")="dünn",1,0)</f>
        <v>0</v>
      </c>
      <c r="K33" s="8"/>
    </row>
    <row r="34" customFormat="false" ht="15" hidden="false" customHeight="false" outlineLevel="0" collapsed="false">
      <c r="A34" s="8" t="s">
        <v>45</v>
      </c>
      <c r="B34" s="8" t="s">
        <v>23</v>
      </c>
      <c r="C34" s="8" t="s">
        <v>247</v>
      </c>
      <c r="D34" s="8" t="s">
        <v>248</v>
      </c>
      <c r="E34" s="8" t="s">
        <v>59</v>
      </c>
      <c r="F34" s="19" t="n">
        <v>55</v>
      </c>
      <c r="G34" s="7" t="n">
        <f aca="false">IFERROR(INDEX(Preise!$L$3:$L$53,MATCH(E34,Preise!$A$3:$A$53,0)),"")</f>
        <v>35.79</v>
      </c>
      <c r="H34" s="10" t="n">
        <f aca="false">IF(G34="","",F34*G34)</f>
        <v>1968.45</v>
      </c>
      <c r="I34" s="22" t="n">
        <f aca="false">IF(G34="",1,0)</f>
        <v>0</v>
      </c>
      <c r="J34" s="9" t="n">
        <f aca="false">IF(IFERROR(INDEX(Preise!$M$3:$M$53,MATCH(E34,Preise!$A$3:$A$53,0)),"")="dünn",1,0)</f>
        <v>0</v>
      </c>
      <c r="K34" s="8" t="s">
        <v>249</v>
      </c>
    </row>
    <row r="35" customFormat="false" ht="15" hidden="false" customHeight="false" outlineLevel="0" collapsed="false">
      <c r="A35" s="8" t="s">
        <v>45</v>
      </c>
      <c r="B35" s="8" t="s">
        <v>23</v>
      </c>
      <c r="C35" s="8" t="s">
        <v>247</v>
      </c>
      <c r="D35" s="8" t="s">
        <v>250</v>
      </c>
      <c r="E35" s="8" t="s">
        <v>58</v>
      </c>
      <c r="F35" s="19" t="n">
        <v>22</v>
      </c>
      <c r="G35" s="7" t="n">
        <f aca="false">IFERROR(INDEX(Preise!$L$3:$L$53,MATCH(E35,Preise!$A$3:$A$53,0)),"")</f>
        <v>5</v>
      </c>
      <c r="H35" s="10" t="n">
        <f aca="false">IF(G35="","",F35*G35)</f>
        <v>110</v>
      </c>
      <c r="I35" s="22" t="n">
        <f aca="false">IF(G35="",1,0)</f>
        <v>0</v>
      </c>
      <c r="J35" s="9" t="n">
        <f aca="false">IF(IFERROR(INDEX(Preise!$M$3:$M$53,MATCH(E35,Preise!$A$3:$A$53,0)),"")="dünn",1,0)</f>
        <v>0</v>
      </c>
      <c r="K35" s="8"/>
    </row>
    <row r="36" customFormat="false" ht="15" hidden="false" customHeight="false" outlineLevel="0" collapsed="false">
      <c r="A36" s="8" t="s">
        <v>45</v>
      </c>
      <c r="B36" s="8" t="s">
        <v>23</v>
      </c>
      <c r="C36" s="8" t="s">
        <v>251</v>
      </c>
      <c r="D36" s="8" t="s">
        <v>252</v>
      </c>
      <c r="E36" s="8" t="s">
        <v>59</v>
      </c>
      <c r="F36" s="19" t="n">
        <v>280</v>
      </c>
      <c r="G36" s="7" t="n">
        <f aca="false">IFERROR(INDEX(Preise!$L$3:$L$53,MATCH(E36,Preise!$A$3:$A$53,0)),"")</f>
        <v>35.79</v>
      </c>
      <c r="H36" s="10" t="n">
        <f aca="false">IF(G36="","",F36*G36)</f>
        <v>10021.2</v>
      </c>
      <c r="I36" s="22" t="n">
        <f aca="false">IF(G36="",1,0)</f>
        <v>0</v>
      </c>
      <c r="J36" s="9" t="n">
        <f aca="false">IF(IFERROR(INDEX(Preise!$M$3:$M$53,MATCH(E36,Preise!$A$3:$A$53,0)),"")="dünn",1,0)</f>
        <v>0</v>
      </c>
      <c r="K36" s="8" t="s">
        <v>249</v>
      </c>
    </row>
    <row r="37" customFormat="false" ht="15" hidden="false" customHeight="false" outlineLevel="0" collapsed="false">
      <c r="A37" s="8" t="s">
        <v>45</v>
      </c>
      <c r="B37" s="8" t="s">
        <v>23</v>
      </c>
      <c r="C37" s="8" t="s">
        <v>251</v>
      </c>
      <c r="D37" s="8" t="s">
        <v>253</v>
      </c>
      <c r="E37" s="8" t="s">
        <v>58</v>
      </c>
      <c r="F37" s="19" t="n">
        <v>80</v>
      </c>
      <c r="G37" s="7" t="n">
        <f aca="false">IFERROR(INDEX(Preise!$L$3:$L$53,MATCH(E37,Preise!$A$3:$A$53,0)),"")</f>
        <v>5</v>
      </c>
      <c r="H37" s="10" t="n">
        <f aca="false">IF(G37="","",F37*G37)</f>
        <v>400</v>
      </c>
      <c r="I37" s="22" t="n">
        <f aca="false">IF(G37="",1,0)</f>
        <v>0</v>
      </c>
      <c r="J37" s="9" t="n">
        <f aca="false">IF(IFERROR(INDEX(Preise!$M$3:$M$53,MATCH(E37,Preise!$A$3:$A$53,0)),"")="dünn",1,0)</f>
        <v>0</v>
      </c>
      <c r="K37" s="8"/>
    </row>
    <row r="38" customFormat="false" ht="15" hidden="false" customHeight="false" outlineLevel="0" collapsed="false">
      <c r="A38" s="8" t="s">
        <v>45</v>
      </c>
      <c r="B38" s="8" t="s">
        <v>24</v>
      </c>
      <c r="C38" s="8" t="s">
        <v>254</v>
      </c>
      <c r="D38" s="8" t="s">
        <v>255</v>
      </c>
      <c r="E38" s="8" t="s">
        <v>60</v>
      </c>
      <c r="F38" s="19" t="n">
        <v>60</v>
      </c>
      <c r="G38" s="7" t="n">
        <f aca="false">IFERROR(INDEX(Preise!$L$3:$L$53,MATCH(E38,Preise!$A$3:$A$53,0)),"")</f>
        <v>19.02</v>
      </c>
      <c r="H38" s="10" t="n">
        <f aca="false">IF(G38="","",F38*G38)</f>
        <v>1141.2</v>
      </c>
      <c r="I38" s="22" t="n">
        <f aca="false">IF(G38="",1,0)</f>
        <v>0</v>
      </c>
      <c r="J38" s="9" t="n">
        <f aca="false">IF(IFERROR(INDEX(Preise!$M$3:$M$53,MATCH(E38,Preise!$A$3:$A$53,0)),"")="dünn",1,0)</f>
        <v>0</v>
      </c>
      <c r="K38" s="8"/>
    </row>
    <row r="39" customFormat="false" ht="15" hidden="false" customHeight="false" outlineLevel="0" collapsed="false">
      <c r="A39" s="8" t="s">
        <v>45</v>
      </c>
      <c r="B39" s="8" t="s">
        <v>24</v>
      </c>
      <c r="C39" s="8" t="s">
        <v>256</v>
      </c>
      <c r="D39" s="8" t="s">
        <v>257</v>
      </c>
      <c r="E39" s="8" t="s">
        <v>60</v>
      </c>
      <c r="F39" s="19" t="n">
        <v>256</v>
      </c>
      <c r="G39" s="7" t="n">
        <f aca="false">IFERROR(INDEX(Preise!$L$3:$L$53,MATCH(E39,Preise!$A$3:$A$53,0)),"")</f>
        <v>19.02</v>
      </c>
      <c r="H39" s="10" t="n">
        <f aca="false">IF(G39="","",F39*G39)</f>
        <v>4869.12</v>
      </c>
      <c r="I39" s="22" t="n">
        <f aca="false">IF(G39="",1,0)</f>
        <v>0</v>
      </c>
      <c r="J39" s="9" t="n">
        <f aca="false">IF(IFERROR(INDEX(Preise!$M$3:$M$53,MATCH(E39,Preise!$A$3:$A$53,0)),"")="dünn",1,0)</f>
        <v>0</v>
      </c>
      <c r="K39" s="8" t="s">
        <v>258</v>
      </c>
    </row>
    <row r="40" customFormat="false" ht="15" hidden="false" customHeight="false" outlineLevel="0" collapsed="false">
      <c r="A40" s="8" t="s">
        <v>45</v>
      </c>
      <c r="B40" s="8" t="s">
        <v>24</v>
      </c>
      <c r="C40" s="8" t="s">
        <v>256</v>
      </c>
      <c r="D40" s="8" t="s">
        <v>259</v>
      </c>
      <c r="E40" s="8" t="s">
        <v>61</v>
      </c>
      <c r="F40" s="19" t="n">
        <v>32</v>
      </c>
      <c r="G40" s="7" t="n">
        <f aca="false">IFERROR(INDEX(Preise!$L$3:$L$53,MATCH(E40,Preise!$A$3:$A$53,0)),"")</f>
        <v>10</v>
      </c>
      <c r="H40" s="10" t="n">
        <f aca="false">IF(G40="","",F40*G40)</f>
        <v>320</v>
      </c>
      <c r="I40" s="22" t="n">
        <f aca="false">IF(G40="",1,0)</f>
        <v>0</v>
      </c>
      <c r="J40" s="9" t="n">
        <f aca="false">IF(IFERROR(INDEX(Preise!$M$3:$M$53,MATCH(E40,Preise!$A$3:$A$53,0)),"")="dünn",1,0)</f>
        <v>0</v>
      </c>
      <c r="K40" s="8"/>
    </row>
    <row r="41" customFormat="false" ht="15" hidden="false" customHeight="false" outlineLevel="0" collapsed="false">
      <c r="A41" s="8" t="s">
        <v>45</v>
      </c>
      <c r="B41" s="8" t="s">
        <v>24</v>
      </c>
      <c r="C41" s="8" t="s">
        <v>256</v>
      </c>
      <c r="D41" s="8" t="s">
        <v>259</v>
      </c>
      <c r="E41" s="8" t="s">
        <v>62</v>
      </c>
      <c r="F41" s="19" t="n">
        <v>32</v>
      </c>
      <c r="G41" s="7" t="n">
        <f aca="false">IFERROR(INDEX(Preise!$L$3:$L$53,MATCH(E41,Preise!$A$3:$A$53,0)),"")</f>
        <v>50</v>
      </c>
      <c r="H41" s="10" t="n">
        <f aca="false">IF(G41="","",F41*G41)</f>
        <v>1600</v>
      </c>
      <c r="I41" s="22" t="n">
        <f aca="false">IF(G41="",1,0)</f>
        <v>0</v>
      </c>
      <c r="J41" s="9" t="n">
        <f aca="false">IF(IFERROR(INDEX(Preise!$M$3:$M$53,MATCH(E41,Preise!$A$3:$A$53,0)),"")="dünn",1,0)</f>
        <v>0</v>
      </c>
      <c r="K41" s="8"/>
    </row>
    <row r="42" customFormat="false" ht="15" hidden="false" customHeight="false" outlineLevel="0" collapsed="false">
      <c r="A42" s="8" t="s">
        <v>45</v>
      </c>
      <c r="B42" s="8" t="s">
        <v>24</v>
      </c>
      <c r="C42" s="8" t="s">
        <v>260</v>
      </c>
      <c r="D42" s="8" t="s">
        <v>261</v>
      </c>
      <c r="E42" s="8" t="s">
        <v>60</v>
      </c>
      <c r="F42" s="19" t="n">
        <v>120</v>
      </c>
      <c r="G42" s="7" t="n">
        <f aca="false">IFERROR(INDEX(Preise!$L$3:$L$53,MATCH(E42,Preise!$A$3:$A$53,0)),"")</f>
        <v>19.02</v>
      </c>
      <c r="H42" s="10" t="n">
        <f aca="false">IF(G42="","",F42*G42)</f>
        <v>2282.4</v>
      </c>
      <c r="I42" s="22" t="n">
        <f aca="false">IF(G42="",1,0)</f>
        <v>0</v>
      </c>
      <c r="J42" s="9" t="n">
        <f aca="false">IF(IFERROR(INDEX(Preise!$M$3:$M$53,MATCH(E42,Preise!$A$3:$A$53,0)),"")="dünn",1,0)</f>
        <v>0</v>
      </c>
      <c r="K42" s="8" t="s">
        <v>262</v>
      </c>
    </row>
    <row r="43" customFormat="false" ht="15" hidden="false" customHeight="false" outlineLevel="0" collapsed="false">
      <c r="A43" s="8" t="s">
        <v>45</v>
      </c>
      <c r="B43" s="8" t="s">
        <v>24</v>
      </c>
      <c r="C43" s="8" t="s">
        <v>260</v>
      </c>
      <c r="D43" s="8" t="s">
        <v>263</v>
      </c>
      <c r="E43" s="8" t="s">
        <v>61</v>
      </c>
      <c r="F43" s="19" t="n">
        <v>10</v>
      </c>
      <c r="G43" s="7" t="n">
        <f aca="false">IFERROR(INDEX(Preise!$L$3:$L$53,MATCH(E43,Preise!$A$3:$A$53,0)),"")</f>
        <v>10</v>
      </c>
      <c r="H43" s="10" t="n">
        <f aca="false">IF(G43="","",F43*G43)</f>
        <v>100</v>
      </c>
      <c r="I43" s="22" t="n">
        <f aca="false">IF(G43="",1,0)</f>
        <v>0</v>
      </c>
      <c r="J43" s="9" t="n">
        <f aca="false">IF(IFERROR(INDEX(Preise!$M$3:$M$53,MATCH(E43,Preise!$A$3:$A$53,0)),"")="dünn",1,0)</f>
        <v>0</v>
      </c>
      <c r="K43" s="8"/>
    </row>
    <row r="44" customFormat="false" ht="15" hidden="false" customHeight="false" outlineLevel="0" collapsed="false">
      <c r="A44" s="8" t="s">
        <v>45</v>
      </c>
      <c r="B44" s="8" t="s">
        <v>24</v>
      </c>
      <c r="C44" s="8" t="s">
        <v>260</v>
      </c>
      <c r="D44" s="8" t="s">
        <v>263</v>
      </c>
      <c r="E44" s="8" t="s">
        <v>62</v>
      </c>
      <c r="F44" s="19" t="n">
        <v>10</v>
      </c>
      <c r="G44" s="7" t="n">
        <f aca="false">IFERROR(INDEX(Preise!$L$3:$L$53,MATCH(E44,Preise!$A$3:$A$53,0)),"")</f>
        <v>50</v>
      </c>
      <c r="H44" s="10" t="n">
        <f aca="false">IF(G44="","",F44*G44)</f>
        <v>500</v>
      </c>
      <c r="I44" s="22" t="n">
        <f aca="false">IF(G44="",1,0)</f>
        <v>0</v>
      </c>
      <c r="J44" s="9" t="n">
        <f aca="false">IF(IFERROR(INDEX(Preise!$M$3:$M$53,MATCH(E44,Preise!$A$3:$A$53,0)),"")="dünn",1,0)</f>
        <v>0</v>
      </c>
      <c r="K44" s="8"/>
    </row>
    <row r="45" customFormat="false" ht="15" hidden="false" customHeight="false" outlineLevel="0" collapsed="false">
      <c r="A45" s="8" t="s">
        <v>64</v>
      </c>
      <c r="B45" s="8" t="s">
        <v>20</v>
      </c>
      <c r="C45" s="8" t="s">
        <v>264</v>
      </c>
      <c r="D45" s="8" t="s">
        <v>265</v>
      </c>
      <c r="E45" s="8" t="s">
        <v>63</v>
      </c>
      <c r="F45" s="19" t="n">
        <v>1</v>
      </c>
      <c r="G45" s="7" t="str">
        <f aca="false">IFERROR(INDEX(Preise!$L$3:$L$53,MATCH(E45,Preise!$A$3:$A$53,0)),"")</f>
        <v/>
      </c>
      <c r="H45" s="10" t="str">
        <f aca="false">IF(G45="","",F45*G45)</f>
        <v/>
      </c>
      <c r="I45" s="22" t="n">
        <f aca="false">IF(G45="",1,0)</f>
        <v>1</v>
      </c>
      <c r="J45" s="9" t="n">
        <f aca="false">IF(IFERROR(INDEX(Preise!$M$3:$M$53,MATCH(E45,Preise!$A$3:$A$53,0)),"")="dünn",1,0)</f>
        <v>0</v>
      </c>
      <c r="K45" s="8" t="s">
        <v>266</v>
      </c>
    </row>
    <row r="46" customFormat="false" ht="15" hidden="false" customHeight="false" outlineLevel="0" collapsed="false">
      <c r="A46" s="8" t="s">
        <v>64</v>
      </c>
      <c r="B46" s="8" t="s">
        <v>20</v>
      </c>
      <c r="C46" s="8" t="s">
        <v>264</v>
      </c>
      <c r="D46" s="8" t="s">
        <v>267</v>
      </c>
      <c r="E46" s="8" t="s">
        <v>65</v>
      </c>
      <c r="F46" s="19" t="n">
        <v>1</v>
      </c>
      <c r="G46" s="7" t="n">
        <f aca="false">IFERROR(INDEX(Preise!$L$3:$L$53,MATCH(E46,Preise!$A$3:$A$53,0)),"")</f>
        <v>0.84</v>
      </c>
      <c r="H46" s="10" t="n">
        <f aca="false">IF(G46="","",F46*G46)</f>
        <v>0.84</v>
      </c>
      <c r="I46" s="22" t="n">
        <f aca="false">IF(G46="",1,0)</f>
        <v>0</v>
      </c>
      <c r="J46" s="9" t="n">
        <f aca="false">IF(IFERROR(INDEX(Preise!$M$3:$M$53,MATCH(E46,Preise!$A$3:$A$53,0)),"")="dünn",1,0)</f>
        <v>0</v>
      </c>
      <c r="K46" s="8"/>
    </row>
    <row r="47" customFormat="false" ht="15" hidden="false" customHeight="false" outlineLevel="0" collapsed="false">
      <c r="A47" s="8" t="s">
        <v>64</v>
      </c>
      <c r="B47" s="8" t="s">
        <v>20</v>
      </c>
      <c r="C47" s="8" t="s">
        <v>264</v>
      </c>
      <c r="D47" s="8" t="s">
        <v>267</v>
      </c>
      <c r="E47" s="8" t="s">
        <v>66</v>
      </c>
      <c r="F47" s="19" t="n">
        <v>1</v>
      </c>
      <c r="G47" s="7" t="n">
        <f aca="false">IFERROR(INDEX(Preise!$L$3:$L$53,MATCH(E47,Preise!$A$3:$A$53,0)),"")</f>
        <v>0.69</v>
      </c>
      <c r="H47" s="10" t="n">
        <f aca="false">IF(G47="","",F47*G47)</f>
        <v>0.69</v>
      </c>
      <c r="I47" s="22" t="n">
        <f aca="false">IF(G47="",1,0)</f>
        <v>0</v>
      </c>
      <c r="J47" s="9" t="n">
        <f aca="false">IF(IFERROR(INDEX(Preise!$M$3:$M$53,MATCH(E47,Preise!$A$3:$A$53,0)),"")="dünn",1,0)</f>
        <v>0</v>
      </c>
      <c r="K47" s="8"/>
    </row>
    <row r="48" customFormat="false" ht="15" hidden="false" customHeight="false" outlineLevel="0" collapsed="false">
      <c r="A48" s="8" t="s">
        <v>64</v>
      </c>
      <c r="B48" s="8" t="s">
        <v>20</v>
      </c>
      <c r="C48" s="8" t="s">
        <v>268</v>
      </c>
      <c r="D48" s="8" t="s">
        <v>269</v>
      </c>
      <c r="E48" s="8" t="s">
        <v>65</v>
      </c>
      <c r="F48" s="19" t="n">
        <v>48</v>
      </c>
      <c r="G48" s="7" t="n">
        <f aca="false">IFERROR(INDEX(Preise!$L$3:$L$53,MATCH(E48,Preise!$A$3:$A$53,0)),"")</f>
        <v>0.84</v>
      </c>
      <c r="H48" s="10" t="n">
        <f aca="false">IF(G48="","",F48*G48)</f>
        <v>40.32</v>
      </c>
      <c r="I48" s="22" t="n">
        <f aca="false">IF(G48="",1,0)</f>
        <v>0</v>
      </c>
      <c r="J48" s="9" t="n">
        <f aca="false">IF(IFERROR(INDEX(Preise!$M$3:$M$53,MATCH(E48,Preise!$A$3:$A$53,0)),"")="dünn",1,0)</f>
        <v>0</v>
      </c>
      <c r="K48" s="8" t="s">
        <v>270</v>
      </c>
    </row>
    <row r="49" customFormat="false" ht="15" hidden="false" customHeight="false" outlineLevel="0" collapsed="false">
      <c r="A49" s="8" t="s">
        <v>64</v>
      </c>
      <c r="B49" s="8" t="s">
        <v>20</v>
      </c>
      <c r="C49" s="8" t="s">
        <v>271</v>
      </c>
      <c r="D49" s="8" t="s">
        <v>272</v>
      </c>
      <c r="E49" s="8" t="s">
        <v>65</v>
      </c>
      <c r="F49" s="19" t="n">
        <v>60</v>
      </c>
      <c r="G49" s="7" t="n">
        <f aca="false">IFERROR(INDEX(Preise!$L$3:$L$53,MATCH(E49,Preise!$A$3:$A$53,0)),"")</f>
        <v>0.84</v>
      </c>
      <c r="H49" s="10" t="n">
        <f aca="false">IF(G49="","",F49*G49)</f>
        <v>50.4</v>
      </c>
      <c r="I49" s="22" t="n">
        <f aca="false">IF(G49="",1,0)</f>
        <v>0</v>
      </c>
      <c r="J49" s="9" t="n">
        <f aca="false">IF(IFERROR(INDEX(Preise!$M$3:$M$53,MATCH(E49,Preise!$A$3:$A$53,0)),"")="dünn",1,0)</f>
        <v>0</v>
      </c>
      <c r="K49" s="8" t="s">
        <v>270</v>
      </c>
    </row>
    <row r="50" customFormat="false" ht="15" hidden="false" customHeight="false" outlineLevel="0" collapsed="false">
      <c r="A50" s="8" t="s">
        <v>64</v>
      </c>
      <c r="B50" s="8" t="s">
        <v>20</v>
      </c>
      <c r="C50" s="8" t="s">
        <v>273</v>
      </c>
      <c r="D50" s="8" t="s">
        <v>274</v>
      </c>
      <c r="E50" s="8" t="s">
        <v>65</v>
      </c>
      <c r="F50" s="19" t="n">
        <v>30</v>
      </c>
      <c r="G50" s="7" t="n">
        <f aca="false">IFERROR(INDEX(Preise!$L$3:$L$53,MATCH(E50,Preise!$A$3:$A$53,0)),"")</f>
        <v>0.84</v>
      </c>
      <c r="H50" s="10" t="n">
        <f aca="false">IF(G50="","",F50*G50)</f>
        <v>25.2</v>
      </c>
      <c r="I50" s="22" t="n">
        <f aca="false">IF(G50="",1,0)</f>
        <v>0</v>
      </c>
      <c r="J50" s="9" t="n">
        <f aca="false">IF(IFERROR(INDEX(Preise!$M$3:$M$53,MATCH(E50,Preise!$A$3:$A$53,0)),"")="dünn",1,0)</f>
        <v>0</v>
      </c>
      <c r="K50" s="8"/>
    </row>
    <row r="51" customFormat="false" ht="15" hidden="false" customHeight="false" outlineLevel="0" collapsed="false">
      <c r="A51" s="8" t="s">
        <v>64</v>
      </c>
      <c r="B51" s="8" t="s">
        <v>21</v>
      </c>
      <c r="C51" s="8" t="s">
        <v>275</v>
      </c>
      <c r="D51" s="8" t="s">
        <v>276</v>
      </c>
      <c r="E51" s="8" t="s">
        <v>67</v>
      </c>
      <c r="F51" s="19" t="n">
        <v>1</v>
      </c>
      <c r="G51" s="7" t="n">
        <f aca="false">IFERROR(INDEX(Preise!$L$3:$L$53,MATCH(E51,Preise!$A$3:$A$53,0)),"")</f>
        <v>19</v>
      </c>
      <c r="H51" s="10" t="n">
        <f aca="false">IF(G51="","",F51*G51)</f>
        <v>19</v>
      </c>
      <c r="I51" s="22" t="n">
        <f aca="false">IF(G51="",1,0)</f>
        <v>0</v>
      </c>
      <c r="J51" s="9" t="n">
        <f aca="false">IF(IFERROR(INDEX(Preise!$M$3:$M$53,MATCH(E51,Preise!$A$3:$A$53,0)),"")="dünn",1,0)</f>
        <v>0</v>
      </c>
      <c r="K51" s="8" t="s">
        <v>277</v>
      </c>
    </row>
    <row r="52" customFormat="false" ht="15" hidden="false" customHeight="false" outlineLevel="0" collapsed="false">
      <c r="A52" s="8" t="s">
        <v>64</v>
      </c>
      <c r="B52" s="8" t="s">
        <v>21</v>
      </c>
      <c r="C52" s="8" t="s">
        <v>275</v>
      </c>
      <c r="D52" s="8" t="s">
        <v>278</v>
      </c>
      <c r="E52" s="8" t="s">
        <v>65</v>
      </c>
      <c r="F52" s="19" t="n">
        <v>6</v>
      </c>
      <c r="G52" s="7" t="n">
        <f aca="false">IFERROR(INDEX(Preise!$L$3:$L$53,MATCH(E52,Preise!$A$3:$A$53,0)),"")</f>
        <v>0.84</v>
      </c>
      <c r="H52" s="10" t="n">
        <f aca="false">IF(G52="","",F52*G52)</f>
        <v>5.04</v>
      </c>
      <c r="I52" s="22" t="n">
        <f aca="false">IF(G52="",1,0)</f>
        <v>0</v>
      </c>
      <c r="J52" s="9" t="n">
        <f aca="false">IF(IFERROR(INDEX(Preise!$M$3:$M$53,MATCH(E52,Preise!$A$3:$A$53,0)),"")="dünn",1,0)</f>
        <v>0</v>
      </c>
      <c r="K52" s="8"/>
    </row>
    <row r="53" customFormat="false" ht="15" hidden="false" customHeight="false" outlineLevel="0" collapsed="false">
      <c r="A53" s="8" t="s">
        <v>64</v>
      </c>
      <c r="B53" s="8" t="s">
        <v>21</v>
      </c>
      <c r="C53" s="8" t="s">
        <v>275</v>
      </c>
      <c r="D53" s="8" t="s">
        <v>278</v>
      </c>
      <c r="E53" s="8" t="s">
        <v>68</v>
      </c>
      <c r="F53" s="19" t="n">
        <v>3</v>
      </c>
      <c r="G53" s="7" t="n">
        <f aca="false">IFERROR(INDEX(Preise!$L$3:$L$53,MATCH(E53,Preise!$A$3:$A$53,0)),"")</f>
        <v>1.96</v>
      </c>
      <c r="H53" s="10" t="n">
        <f aca="false">IF(G53="","",F53*G53)</f>
        <v>5.88</v>
      </c>
      <c r="I53" s="22" t="n">
        <f aca="false">IF(G53="",1,0)</f>
        <v>0</v>
      </c>
      <c r="J53" s="9" t="n">
        <f aca="false">IF(IFERROR(INDEX(Preise!$M$3:$M$53,MATCH(E53,Preise!$A$3:$A$53,0)),"")="dünn",1,0)</f>
        <v>0</v>
      </c>
      <c r="K53" s="8"/>
    </row>
    <row r="54" customFormat="false" ht="15" hidden="false" customHeight="false" outlineLevel="0" collapsed="false">
      <c r="A54" s="8" t="s">
        <v>64</v>
      </c>
      <c r="B54" s="8" t="s">
        <v>21</v>
      </c>
      <c r="C54" s="8" t="s">
        <v>275</v>
      </c>
      <c r="D54" s="8" t="s">
        <v>278</v>
      </c>
      <c r="E54" s="8" t="s">
        <v>69</v>
      </c>
      <c r="F54" s="19" t="n">
        <v>1</v>
      </c>
      <c r="G54" s="7" t="n">
        <f aca="false">IFERROR(INDEX(Preise!$L$3:$L$53,MATCH(E54,Preise!$A$3:$A$53,0)),"")</f>
        <v>3.14</v>
      </c>
      <c r="H54" s="10" t="n">
        <f aca="false">IF(G54="","",F54*G54)</f>
        <v>3.14</v>
      </c>
      <c r="I54" s="22" t="n">
        <f aca="false">IF(G54="",1,0)</f>
        <v>0</v>
      </c>
      <c r="J54" s="9" t="n">
        <f aca="false">IF(IFERROR(INDEX(Preise!$M$3:$M$53,MATCH(E54,Preise!$A$3:$A$53,0)),"")="dünn",1,0)</f>
        <v>0</v>
      </c>
      <c r="K54" s="8"/>
    </row>
    <row r="55" customFormat="false" ht="15" hidden="false" customHeight="false" outlineLevel="0" collapsed="false">
      <c r="A55" s="8" t="s">
        <v>64</v>
      </c>
      <c r="B55" s="8" t="s">
        <v>21</v>
      </c>
      <c r="C55" s="8" t="s">
        <v>279</v>
      </c>
      <c r="D55" s="8" t="s">
        <v>280</v>
      </c>
      <c r="E55" s="8" t="s">
        <v>71</v>
      </c>
      <c r="F55" s="19" t="n">
        <v>9</v>
      </c>
      <c r="G55" s="7" t="n">
        <f aca="false">IFERROR(INDEX(Preise!$L$3:$L$53,MATCH(E55,Preise!$A$3:$A$53,0)),"")</f>
        <v>0.7</v>
      </c>
      <c r="H55" s="10" t="n">
        <f aca="false">IF(G55="","",F55*G55)</f>
        <v>6.3</v>
      </c>
      <c r="I55" s="22" t="n">
        <f aca="false">IF(G55="",1,0)</f>
        <v>0</v>
      </c>
      <c r="J55" s="9" t="n">
        <f aca="false">IF(IFERROR(INDEX(Preise!$M$3:$M$53,MATCH(E55,Preise!$A$3:$A$53,0)),"")="dünn",1,0)</f>
        <v>0</v>
      </c>
      <c r="K55" s="8"/>
    </row>
    <row r="56" customFormat="false" ht="15" hidden="false" customHeight="false" outlineLevel="0" collapsed="false">
      <c r="A56" s="8" t="s">
        <v>64</v>
      </c>
      <c r="B56" s="8" t="s">
        <v>21</v>
      </c>
      <c r="C56" s="8" t="s">
        <v>279</v>
      </c>
      <c r="D56" s="8" t="s">
        <v>281</v>
      </c>
      <c r="E56" s="8" t="s">
        <v>68</v>
      </c>
      <c r="F56" s="19" t="n">
        <v>9</v>
      </c>
      <c r="G56" s="7" t="n">
        <f aca="false">IFERROR(INDEX(Preise!$L$3:$L$53,MATCH(E56,Preise!$A$3:$A$53,0)),"")</f>
        <v>1.96</v>
      </c>
      <c r="H56" s="10" t="n">
        <f aca="false">IF(G56="","",F56*G56)</f>
        <v>17.64</v>
      </c>
      <c r="I56" s="22" t="n">
        <f aca="false">IF(G56="",1,0)</f>
        <v>0</v>
      </c>
      <c r="J56" s="9" t="n">
        <f aca="false">IF(IFERROR(INDEX(Preise!$M$3:$M$53,MATCH(E56,Preise!$A$3:$A$53,0)),"")="dünn",1,0)</f>
        <v>0</v>
      </c>
      <c r="K56" s="8"/>
    </row>
    <row r="57" customFormat="false" ht="15" hidden="false" customHeight="false" outlineLevel="0" collapsed="false">
      <c r="A57" s="8" t="s">
        <v>64</v>
      </c>
      <c r="B57" s="8" t="s">
        <v>21</v>
      </c>
      <c r="C57" s="8" t="s">
        <v>282</v>
      </c>
      <c r="D57" s="8" t="s">
        <v>283</v>
      </c>
      <c r="E57" s="8" t="s">
        <v>72</v>
      </c>
      <c r="F57" s="19" t="n">
        <v>25</v>
      </c>
      <c r="G57" s="7" t="n">
        <f aca="false">IFERROR(INDEX(Preise!$L$3:$L$53,MATCH(E57,Preise!$A$3:$A$53,0)),"")</f>
        <v>6.04</v>
      </c>
      <c r="H57" s="10" t="n">
        <f aca="false">IF(G57="","",F57*G57)</f>
        <v>151</v>
      </c>
      <c r="I57" s="22" t="n">
        <f aca="false">IF(G57="",1,0)</f>
        <v>0</v>
      </c>
      <c r="J57" s="9" t="n">
        <f aca="false">IF(IFERROR(INDEX(Preise!$M$3:$M$53,MATCH(E57,Preise!$A$3:$A$53,0)),"")="dünn",1,0)</f>
        <v>0</v>
      </c>
      <c r="K57" s="8" t="s">
        <v>284</v>
      </c>
    </row>
    <row r="58" customFormat="false" ht="15" hidden="false" customHeight="false" outlineLevel="0" collapsed="false">
      <c r="A58" s="8" t="s">
        <v>64</v>
      </c>
      <c r="B58" s="8" t="s">
        <v>21</v>
      </c>
      <c r="C58" s="8" t="s">
        <v>285</v>
      </c>
      <c r="D58" s="8" t="s">
        <v>286</v>
      </c>
      <c r="E58" s="8" t="s">
        <v>73</v>
      </c>
      <c r="F58" s="19" t="n">
        <v>40</v>
      </c>
      <c r="G58" s="7" t="n">
        <f aca="false">IFERROR(INDEX(Preise!$L$3:$L$53,MATCH(E58,Preise!$A$3:$A$53,0)),"")</f>
        <v>7.21</v>
      </c>
      <c r="H58" s="10" t="n">
        <f aca="false">IF(G58="","",F58*G58)</f>
        <v>288.4</v>
      </c>
      <c r="I58" s="22" t="n">
        <f aca="false">IF(G58="",1,0)</f>
        <v>0</v>
      </c>
      <c r="J58" s="9" t="n">
        <f aca="false">IF(IFERROR(INDEX(Preise!$M$3:$M$53,MATCH(E58,Preise!$A$3:$A$53,0)),"")="dünn",1,0)</f>
        <v>0</v>
      </c>
      <c r="K58" s="8"/>
    </row>
    <row r="59" customFormat="false" ht="15" hidden="false" customHeight="false" outlineLevel="0" collapsed="false">
      <c r="A59" s="8" t="s">
        <v>64</v>
      </c>
      <c r="B59" s="8" t="s">
        <v>22</v>
      </c>
      <c r="C59" s="8" t="s">
        <v>287</v>
      </c>
      <c r="D59" s="8" t="s">
        <v>288</v>
      </c>
      <c r="E59" s="8" t="s">
        <v>74</v>
      </c>
      <c r="F59" s="19" t="n">
        <v>1</v>
      </c>
      <c r="G59" s="7" t="n">
        <f aca="false">IFERROR(INDEX(Preise!$L$3:$L$53,MATCH(E59,Preise!$A$3:$A$53,0)),"")</f>
        <v>8</v>
      </c>
      <c r="H59" s="10" t="n">
        <f aca="false">IF(G59="","",F59*G59)</f>
        <v>8</v>
      </c>
      <c r="I59" s="22" t="n">
        <f aca="false">IF(G59="",1,0)</f>
        <v>0</v>
      </c>
      <c r="J59" s="9" t="n">
        <f aca="false">IF(IFERROR(INDEX(Preise!$M$3:$M$53,MATCH(E59,Preise!$A$3:$A$53,0)),"")="dünn",1,0)</f>
        <v>1</v>
      </c>
      <c r="K59" s="8"/>
    </row>
    <row r="60" customFormat="false" ht="15" hidden="false" customHeight="false" outlineLevel="0" collapsed="false">
      <c r="A60" s="8" t="s">
        <v>64</v>
      </c>
      <c r="B60" s="8" t="s">
        <v>22</v>
      </c>
      <c r="C60" s="8" t="s">
        <v>287</v>
      </c>
      <c r="D60" s="8" t="s">
        <v>289</v>
      </c>
      <c r="E60" s="8" t="s">
        <v>75</v>
      </c>
      <c r="F60" s="19" t="n">
        <v>1</v>
      </c>
      <c r="G60" s="7" t="n">
        <f aca="false">IFERROR(INDEX(Preise!$L$3:$L$53,MATCH(E60,Preise!$A$3:$A$53,0)),"")</f>
        <v>304.5</v>
      </c>
      <c r="H60" s="10" t="n">
        <f aca="false">IF(G60="","",F60*G60)</f>
        <v>304.5</v>
      </c>
      <c r="I60" s="22" t="n">
        <f aca="false">IF(G60="",1,0)</f>
        <v>0</v>
      </c>
      <c r="J60" s="9" t="n">
        <f aca="false">IF(IFERROR(INDEX(Preise!$M$3:$M$53,MATCH(E60,Preise!$A$3:$A$53,0)),"")="dünn",1,0)</f>
        <v>1</v>
      </c>
      <c r="K60" s="8"/>
    </row>
    <row r="61" customFormat="false" ht="15" hidden="false" customHeight="false" outlineLevel="0" collapsed="false">
      <c r="A61" s="8" t="s">
        <v>64</v>
      </c>
      <c r="B61" s="8" t="s">
        <v>22</v>
      </c>
      <c r="C61" s="8" t="s">
        <v>287</v>
      </c>
      <c r="D61" s="8" t="s">
        <v>289</v>
      </c>
      <c r="E61" s="8" t="s">
        <v>76</v>
      </c>
      <c r="F61" s="19" t="n">
        <v>2</v>
      </c>
      <c r="G61" s="7" t="n">
        <f aca="false">IFERROR(INDEX(Preise!$L$3:$L$53,MATCH(E61,Preise!$A$3:$A$53,0)),"")</f>
        <v>28.54</v>
      </c>
      <c r="H61" s="10" t="n">
        <f aca="false">IF(G61="","",F61*G61)</f>
        <v>57.08</v>
      </c>
      <c r="I61" s="22" t="n">
        <f aca="false">IF(G61="",1,0)</f>
        <v>0</v>
      </c>
      <c r="J61" s="9" t="n">
        <f aca="false">IF(IFERROR(INDEX(Preise!$M$3:$M$53,MATCH(E61,Preise!$A$3:$A$53,0)),"")="dünn",1,0)</f>
        <v>0</v>
      </c>
      <c r="K61" s="8"/>
    </row>
    <row r="62" customFormat="false" ht="15" hidden="false" customHeight="false" outlineLevel="0" collapsed="false">
      <c r="A62" s="8" t="s">
        <v>64</v>
      </c>
      <c r="B62" s="8" t="s">
        <v>22</v>
      </c>
      <c r="C62" s="8" t="s">
        <v>287</v>
      </c>
      <c r="D62" s="8" t="s">
        <v>289</v>
      </c>
      <c r="E62" s="8" t="s">
        <v>73</v>
      </c>
      <c r="F62" s="19" t="n">
        <v>2</v>
      </c>
      <c r="G62" s="7" t="n">
        <f aca="false">IFERROR(INDEX(Preise!$L$3:$L$53,MATCH(E62,Preise!$A$3:$A$53,0)),"")</f>
        <v>7.21</v>
      </c>
      <c r="H62" s="10" t="n">
        <f aca="false">IF(G62="","",F62*G62)</f>
        <v>14.42</v>
      </c>
      <c r="I62" s="22" t="n">
        <f aca="false">IF(G62="",1,0)</f>
        <v>0</v>
      </c>
      <c r="J62" s="9" t="n">
        <f aca="false">IF(IFERROR(INDEX(Preise!$M$3:$M$53,MATCH(E62,Preise!$A$3:$A$53,0)),"")="dünn",1,0)</f>
        <v>0</v>
      </c>
      <c r="K62" s="8"/>
    </row>
    <row r="63" customFormat="false" ht="15" hidden="false" customHeight="false" outlineLevel="0" collapsed="false">
      <c r="A63" s="8" t="s">
        <v>64</v>
      </c>
      <c r="B63" s="8" t="s">
        <v>22</v>
      </c>
      <c r="C63" s="8" t="s">
        <v>290</v>
      </c>
      <c r="D63" s="8" t="s">
        <v>291</v>
      </c>
      <c r="E63" s="8" t="s">
        <v>73</v>
      </c>
      <c r="F63" s="19" t="n">
        <v>80</v>
      </c>
      <c r="G63" s="7" t="n">
        <f aca="false">IFERROR(INDEX(Preise!$L$3:$L$53,MATCH(E63,Preise!$A$3:$A$53,0)),"")</f>
        <v>7.21</v>
      </c>
      <c r="H63" s="10" t="n">
        <f aca="false">IF(G63="","",F63*G63)</f>
        <v>576.8</v>
      </c>
      <c r="I63" s="22" t="n">
        <f aca="false">IF(G63="",1,0)</f>
        <v>0</v>
      </c>
      <c r="J63" s="9" t="n">
        <f aca="false">IF(IFERROR(INDEX(Preise!$M$3:$M$53,MATCH(E63,Preise!$A$3:$A$53,0)),"")="dünn",1,0)</f>
        <v>0</v>
      </c>
      <c r="K63" s="8" t="s">
        <v>284</v>
      </c>
    </row>
    <row r="64" customFormat="false" ht="15" hidden="false" customHeight="false" outlineLevel="0" collapsed="false">
      <c r="A64" s="8" t="s">
        <v>64</v>
      </c>
      <c r="B64" s="8" t="s">
        <v>22</v>
      </c>
      <c r="C64" s="8" t="s">
        <v>292</v>
      </c>
      <c r="D64" s="8" t="s">
        <v>293</v>
      </c>
      <c r="E64" s="8" t="s">
        <v>77</v>
      </c>
      <c r="F64" s="19" t="n">
        <v>15</v>
      </c>
      <c r="G64" s="7" t="n">
        <f aca="false">IFERROR(INDEX(Preise!$L$3:$L$53,MATCH(E64,Preise!$A$3:$A$53,0)),"")</f>
        <v>19.71</v>
      </c>
      <c r="H64" s="10" t="n">
        <f aca="false">IF(G64="","",F64*G64)</f>
        <v>295.65</v>
      </c>
      <c r="I64" s="22" t="n">
        <f aca="false">IF(G64="",1,0)</f>
        <v>0</v>
      </c>
      <c r="J64" s="9" t="n">
        <f aca="false">IF(IFERROR(INDEX(Preise!$M$3:$M$53,MATCH(E64,Preise!$A$3:$A$53,0)),"")="dünn",1,0)</f>
        <v>0</v>
      </c>
      <c r="K64" s="8"/>
    </row>
    <row r="65" customFormat="false" ht="15" hidden="false" customHeight="false" outlineLevel="0" collapsed="false">
      <c r="A65" s="8" t="s">
        <v>64</v>
      </c>
      <c r="B65" s="8" t="s">
        <v>23</v>
      </c>
      <c r="C65" s="8" t="s">
        <v>294</v>
      </c>
      <c r="D65" s="8" t="s">
        <v>295</v>
      </c>
      <c r="E65" s="8" t="s">
        <v>78</v>
      </c>
      <c r="F65" s="19" t="n">
        <v>1</v>
      </c>
      <c r="G65" s="7" t="n">
        <f aca="false">IFERROR(INDEX(Preise!$L$3:$L$53,MATCH(E65,Preise!$A$3:$A$53,0)),"")</f>
        <v>85</v>
      </c>
      <c r="H65" s="10" t="n">
        <f aca="false">IF(G65="","",F65*G65)</f>
        <v>85</v>
      </c>
      <c r="I65" s="22" t="n">
        <f aca="false">IF(G65="",1,0)</f>
        <v>0</v>
      </c>
      <c r="J65" s="9" t="n">
        <f aca="false">IF(IFERROR(INDEX(Preise!$M$3:$M$53,MATCH(E65,Preise!$A$3:$A$53,0)),"")="dünn",1,0)</f>
        <v>1</v>
      </c>
      <c r="K65" s="8" t="s">
        <v>296</v>
      </c>
    </row>
    <row r="66" customFormat="false" ht="15" hidden="false" customHeight="false" outlineLevel="0" collapsed="false">
      <c r="A66" s="8" t="s">
        <v>64</v>
      </c>
      <c r="B66" s="8" t="s">
        <v>23</v>
      </c>
      <c r="C66" s="8" t="s">
        <v>294</v>
      </c>
      <c r="D66" s="8" t="s">
        <v>297</v>
      </c>
      <c r="E66" s="8" t="s">
        <v>79</v>
      </c>
      <c r="F66" s="19" t="n">
        <v>1</v>
      </c>
      <c r="G66" s="7" t="n">
        <f aca="false">IFERROR(INDEX(Preise!$L$3:$L$53,MATCH(E66,Preise!$A$3:$A$53,0)),"")</f>
        <v>1000</v>
      </c>
      <c r="H66" s="10" t="n">
        <f aca="false">IF(G66="","",F66*G66)</f>
        <v>1000</v>
      </c>
      <c r="I66" s="22" t="n">
        <f aca="false">IF(G66="",1,0)</f>
        <v>0</v>
      </c>
      <c r="J66" s="9" t="n">
        <f aca="false">IF(IFERROR(INDEX(Preise!$M$3:$M$53,MATCH(E66,Preise!$A$3:$A$53,0)),"")="dünn",1,0)</f>
        <v>1</v>
      </c>
      <c r="K66" s="8"/>
    </row>
    <row r="67" customFormat="false" ht="15" hidden="false" customHeight="false" outlineLevel="0" collapsed="false">
      <c r="A67" s="8" t="s">
        <v>64</v>
      </c>
      <c r="B67" s="8" t="s">
        <v>23</v>
      </c>
      <c r="C67" s="8" t="s">
        <v>294</v>
      </c>
      <c r="D67" s="8" t="s">
        <v>297</v>
      </c>
      <c r="E67" s="8" t="s">
        <v>80</v>
      </c>
      <c r="F67" s="19" t="n">
        <v>2</v>
      </c>
      <c r="G67" s="7" t="n">
        <f aca="false">IFERROR(INDEX(Preise!$L$3:$L$53,MATCH(E67,Preise!$A$3:$A$53,0)),"")</f>
        <v>44</v>
      </c>
      <c r="H67" s="10" t="n">
        <f aca="false">IF(G67="","",F67*G67)</f>
        <v>88</v>
      </c>
      <c r="I67" s="22" t="n">
        <f aca="false">IF(G67="",1,0)</f>
        <v>0</v>
      </c>
      <c r="J67" s="9" t="n">
        <f aca="false">IF(IFERROR(INDEX(Preise!$M$3:$M$53,MATCH(E67,Preise!$A$3:$A$53,0)),"")="dünn",1,0)</f>
        <v>0</v>
      </c>
      <c r="K67" s="8"/>
    </row>
    <row r="68" customFormat="false" ht="15" hidden="false" customHeight="false" outlineLevel="0" collapsed="false">
      <c r="A68" s="8" t="s">
        <v>64</v>
      </c>
      <c r="B68" s="8" t="s">
        <v>23</v>
      </c>
      <c r="C68" s="8" t="s">
        <v>294</v>
      </c>
      <c r="D68" s="8" t="s">
        <v>297</v>
      </c>
      <c r="E68" s="8" t="s">
        <v>77</v>
      </c>
      <c r="F68" s="19" t="n">
        <v>2</v>
      </c>
      <c r="G68" s="7" t="n">
        <f aca="false">IFERROR(INDEX(Preise!$L$3:$L$53,MATCH(E68,Preise!$A$3:$A$53,0)),"")</f>
        <v>19.71</v>
      </c>
      <c r="H68" s="10" t="n">
        <f aca="false">IF(G68="","",F68*G68)</f>
        <v>39.42</v>
      </c>
      <c r="I68" s="22" t="n">
        <f aca="false">IF(G68="",1,0)</f>
        <v>0</v>
      </c>
      <c r="J68" s="9" t="n">
        <f aca="false">IF(IFERROR(INDEX(Preise!$M$3:$M$53,MATCH(E68,Preise!$A$3:$A$53,0)),"")="dünn",1,0)</f>
        <v>0</v>
      </c>
      <c r="K68" s="8"/>
    </row>
    <row r="69" customFormat="false" ht="15" hidden="false" customHeight="false" outlineLevel="0" collapsed="false">
      <c r="A69" s="8" t="s">
        <v>64</v>
      </c>
      <c r="B69" s="8" t="s">
        <v>23</v>
      </c>
      <c r="C69" s="8" t="s">
        <v>298</v>
      </c>
      <c r="D69" s="8" t="s">
        <v>299</v>
      </c>
      <c r="E69" s="8" t="s">
        <v>77</v>
      </c>
      <c r="F69" s="19" t="n">
        <v>25</v>
      </c>
      <c r="G69" s="7" t="n">
        <f aca="false">IFERROR(INDEX(Preise!$L$3:$L$53,MATCH(E69,Preise!$A$3:$A$53,0)),"")</f>
        <v>19.71</v>
      </c>
      <c r="H69" s="10" t="n">
        <f aca="false">IF(G69="","",F69*G69)</f>
        <v>492.75</v>
      </c>
      <c r="I69" s="22" t="n">
        <f aca="false">IF(G69="",1,0)</f>
        <v>0</v>
      </c>
      <c r="J69" s="9" t="n">
        <f aca="false">IF(IFERROR(INDEX(Preise!$M$3:$M$53,MATCH(E69,Preise!$A$3:$A$53,0)),"")="dünn",1,0)</f>
        <v>0</v>
      </c>
      <c r="K69" s="8"/>
    </row>
    <row r="70" customFormat="false" ht="15" hidden="false" customHeight="false" outlineLevel="0" collapsed="false">
      <c r="A70" s="8" t="s">
        <v>64</v>
      </c>
      <c r="B70" s="8" t="s">
        <v>23</v>
      </c>
      <c r="C70" s="8" t="s">
        <v>300</v>
      </c>
      <c r="D70" s="8" t="s">
        <v>301</v>
      </c>
      <c r="E70" s="8" t="s">
        <v>77</v>
      </c>
      <c r="F70" s="19" t="n">
        <v>15</v>
      </c>
      <c r="G70" s="7" t="n">
        <f aca="false">IFERROR(INDEX(Preise!$L$3:$L$53,MATCH(E70,Preise!$A$3:$A$53,0)),"")</f>
        <v>19.71</v>
      </c>
      <c r="H70" s="10" t="n">
        <f aca="false">IF(G70="","",F70*G70)</f>
        <v>295.65</v>
      </c>
      <c r="I70" s="22" t="n">
        <f aca="false">IF(G70="",1,0)</f>
        <v>0</v>
      </c>
      <c r="J70" s="9" t="n">
        <f aca="false">IF(IFERROR(INDEX(Preise!$M$3:$M$53,MATCH(E70,Preise!$A$3:$A$53,0)),"")="dünn",1,0)</f>
        <v>0</v>
      </c>
      <c r="K70" s="8"/>
    </row>
    <row r="71" customFormat="false" ht="15" hidden="false" customHeight="false" outlineLevel="0" collapsed="false">
      <c r="A71" s="8" t="s">
        <v>64</v>
      </c>
      <c r="B71" s="8" t="s">
        <v>23</v>
      </c>
      <c r="C71" s="8" t="s">
        <v>302</v>
      </c>
      <c r="D71" s="8" t="s">
        <v>303</v>
      </c>
      <c r="E71" s="8" t="s">
        <v>81</v>
      </c>
      <c r="F71" s="19" t="n">
        <v>5</v>
      </c>
      <c r="G71" s="7" t="n">
        <f aca="false">IFERROR(INDEX(Preise!$L$3:$L$53,MATCH(E71,Preise!$A$3:$A$53,0)),"")</f>
        <v>268.98</v>
      </c>
      <c r="H71" s="10" t="n">
        <f aca="false">IF(G71="","",F71*G71)</f>
        <v>1344.9</v>
      </c>
      <c r="I71" s="22" t="n">
        <f aca="false">IF(G71="",1,0)</f>
        <v>0</v>
      </c>
      <c r="J71" s="9" t="n">
        <f aca="false">IF(IFERROR(INDEX(Preise!$M$3:$M$53,MATCH(E71,Preise!$A$3:$A$53,0)),"")="dünn",1,0)</f>
        <v>1</v>
      </c>
      <c r="K71" s="8"/>
    </row>
    <row r="72" customFormat="false" ht="15" hidden="false" customHeight="false" outlineLevel="0" collapsed="false">
      <c r="A72" s="8" t="s">
        <v>64</v>
      </c>
      <c r="B72" s="8" t="s">
        <v>23</v>
      </c>
      <c r="C72" s="8" t="s">
        <v>302</v>
      </c>
      <c r="D72" s="8" t="s">
        <v>304</v>
      </c>
      <c r="E72" s="8" t="s">
        <v>77</v>
      </c>
      <c r="F72" s="19" t="n">
        <v>5</v>
      </c>
      <c r="G72" s="7" t="n">
        <f aca="false">IFERROR(INDEX(Preise!$L$3:$L$53,MATCH(E72,Preise!$A$3:$A$53,0)),"")</f>
        <v>19.71</v>
      </c>
      <c r="H72" s="10" t="n">
        <f aca="false">IF(G72="","",F72*G72)</f>
        <v>98.55</v>
      </c>
      <c r="I72" s="22" t="n">
        <f aca="false">IF(G72="",1,0)</f>
        <v>0</v>
      </c>
      <c r="J72" s="9" t="n">
        <f aca="false">IF(IFERROR(INDEX(Preise!$M$3:$M$53,MATCH(E72,Preise!$A$3:$A$53,0)),"")="dünn",1,0)</f>
        <v>0</v>
      </c>
      <c r="K72" s="8"/>
    </row>
    <row r="73" customFormat="false" ht="15" hidden="false" customHeight="false" outlineLevel="0" collapsed="false">
      <c r="A73" s="8" t="s">
        <v>64</v>
      </c>
      <c r="B73" s="8" t="s">
        <v>23</v>
      </c>
      <c r="C73" s="8" t="s">
        <v>305</v>
      </c>
      <c r="D73" s="8" t="s">
        <v>306</v>
      </c>
      <c r="E73" s="8" t="s">
        <v>77</v>
      </c>
      <c r="F73" s="19" t="n">
        <v>25</v>
      </c>
      <c r="G73" s="7" t="n">
        <f aca="false">IFERROR(INDEX(Preise!$L$3:$L$53,MATCH(E73,Preise!$A$3:$A$53,0)),"")</f>
        <v>19.71</v>
      </c>
      <c r="H73" s="10" t="n">
        <f aca="false">IF(G73="","",F73*G73)</f>
        <v>492.75</v>
      </c>
      <c r="I73" s="22" t="n">
        <f aca="false">IF(G73="",1,0)</f>
        <v>0</v>
      </c>
      <c r="J73" s="9" t="n">
        <f aca="false">IF(IFERROR(INDEX(Preise!$M$3:$M$53,MATCH(E73,Preise!$A$3:$A$53,0)),"")="dünn",1,0)</f>
        <v>0</v>
      </c>
      <c r="K73" s="8"/>
    </row>
    <row r="74" customFormat="false" ht="15" hidden="false" customHeight="false" outlineLevel="0" collapsed="false">
      <c r="A74" s="8" t="s">
        <v>64</v>
      </c>
      <c r="B74" s="8" t="s">
        <v>23</v>
      </c>
      <c r="C74" s="8" t="s">
        <v>307</v>
      </c>
      <c r="D74" s="8" t="s">
        <v>308</v>
      </c>
      <c r="E74" s="8" t="s">
        <v>77</v>
      </c>
      <c r="F74" s="19" t="n">
        <v>150</v>
      </c>
      <c r="G74" s="7" t="n">
        <f aca="false">IFERROR(INDEX(Preise!$L$3:$L$53,MATCH(E74,Preise!$A$3:$A$53,0)),"")</f>
        <v>19.71</v>
      </c>
      <c r="H74" s="10" t="n">
        <f aca="false">IF(G74="","",F74*G74)</f>
        <v>2956.5</v>
      </c>
      <c r="I74" s="22" t="n">
        <f aca="false">IF(G74="",1,0)</f>
        <v>0</v>
      </c>
      <c r="J74" s="9" t="n">
        <f aca="false">IF(IFERROR(INDEX(Preise!$M$3:$M$53,MATCH(E74,Preise!$A$3:$A$53,0)),"")="dünn",1,0)</f>
        <v>0</v>
      </c>
      <c r="K74" s="8" t="s">
        <v>270</v>
      </c>
    </row>
    <row r="75" customFormat="false" ht="15" hidden="false" customHeight="false" outlineLevel="0" collapsed="false">
      <c r="A75" s="8" t="s">
        <v>64</v>
      </c>
      <c r="B75" s="8" t="s">
        <v>24</v>
      </c>
      <c r="C75" s="8" t="s">
        <v>309</v>
      </c>
      <c r="D75" s="8" t="s">
        <v>310</v>
      </c>
      <c r="E75" s="8" t="s">
        <v>82</v>
      </c>
      <c r="F75" s="19" t="n">
        <v>60</v>
      </c>
      <c r="G75" s="7" t="n">
        <f aca="false">IFERROR(INDEX(Preise!$L$3:$L$53,MATCH(E75,Preise!$A$3:$A$53,0)),"")</f>
        <v>58</v>
      </c>
      <c r="H75" s="10" t="n">
        <f aca="false">IF(G75="","",F75*G75)</f>
        <v>3480</v>
      </c>
      <c r="I75" s="22" t="n">
        <f aca="false">IF(G75="",1,0)</f>
        <v>0</v>
      </c>
      <c r="J75" s="9" t="n">
        <f aca="false">IF(IFERROR(INDEX(Preise!$M$3:$M$53,MATCH(E75,Preise!$A$3:$A$53,0)),"")="dünn",1,0)</f>
        <v>1</v>
      </c>
      <c r="K75" s="8" t="s">
        <v>311</v>
      </c>
    </row>
    <row r="76" customFormat="false" ht="15" hidden="false" customHeight="false" outlineLevel="0" collapsed="false">
      <c r="A76" s="8" t="s">
        <v>64</v>
      </c>
      <c r="B76" s="8" t="s">
        <v>24</v>
      </c>
      <c r="C76" s="8" t="s">
        <v>309</v>
      </c>
      <c r="D76" s="8" t="s">
        <v>312</v>
      </c>
      <c r="E76" s="8" t="s">
        <v>83</v>
      </c>
      <c r="F76" s="19" t="n">
        <v>40</v>
      </c>
      <c r="G76" s="7" t="n">
        <f aca="false">IFERROR(INDEX(Preise!$L$3:$L$53,MATCH(E76,Preise!$A$3:$A$53,0)),"")</f>
        <v>2005</v>
      </c>
      <c r="H76" s="10" t="n">
        <f aca="false">IF(G76="","",F76*G76)</f>
        <v>80200</v>
      </c>
      <c r="I76" s="22" t="n">
        <f aca="false">IF(G76="",1,0)</f>
        <v>0</v>
      </c>
      <c r="J76" s="9" t="n">
        <f aca="false">IF(IFERROR(INDEX(Preise!$M$3:$M$53,MATCH(E76,Preise!$A$3:$A$53,0)),"")="dünn",1,0)</f>
        <v>1</v>
      </c>
      <c r="K76" s="8"/>
    </row>
    <row r="77" customFormat="false" ht="15" hidden="false" customHeight="false" outlineLevel="0" collapsed="false">
      <c r="A77" s="8" t="s">
        <v>64</v>
      </c>
      <c r="B77" s="8" t="s">
        <v>24</v>
      </c>
      <c r="C77" s="8" t="s">
        <v>309</v>
      </c>
      <c r="D77" s="8" t="s">
        <v>312</v>
      </c>
      <c r="E77" s="8" t="s">
        <v>84</v>
      </c>
      <c r="F77" s="19" t="n">
        <v>20</v>
      </c>
      <c r="G77" s="7" t="n">
        <f aca="false">IFERROR(INDEX(Preise!$L$3:$L$53,MATCH(E77,Preise!$A$3:$A$53,0)),"")</f>
        <v>5</v>
      </c>
      <c r="H77" s="10" t="n">
        <f aca="false">IF(G77="","",F77*G77)</f>
        <v>100</v>
      </c>
      <c r="I77" s="22" t="n">
        <f aca="false">IF(G77="",1,0)</f>
        <v>0</v>
      </c>
      <c r="J77" s="9" t="n">
        <f aca="false">IF(IFERROR(INDEX(Preise!$M$3:$M$53,MATCH(E77,Preise!$A$3:$A$53,0)),"")="dünn",1,0)</f>
        <v>1</v>
      </c>
      <c r="K77" s="8"/>
    </row>
    <row r="78" customFormat="false" ht="15" hidden="false" customHeight="false" outlineLevel="0" collapsed="false">
      <c r="A78" s="8" t="s">
        <v>64</v>
      </c>
      <c r="B78" s="8" t="s">
        <v>24</v>
      </c>
      <c r="C78" s="8" t="s">
        <v>313</v>
      </c>
      <c r="D78" s="8" t="s">
        <v>314</v>
      </c>
      <c r="E78" s="8" t="s">
        <v>82</v>
      </c>
      <c r="F78" s="19" t="n">
        <v>300</v>
      </c>
      <c r="G78" s="7" t="n">
        <f aca="false">IFERROR(INDEX(Preise!$L$3:$L$53,MATCH(E78,Preise!$A$3:$A$53,0)),"")</f>
        <v>58</v>
      </c>
      <c r="H78" s="10" t="n">
        <f aca="false">IF(G78="","",F78*G78)</f>
        <v>17400</v>
      </c>
      <c r="I78" s="22" t="n">
        <f aca="false">IF(G78="",1,0)</f>
        <v>0</v>
      </c>
      <c r="J78" s="9" t="n">
        <f aca="false">IF(IFERROR(INDEX(Preise!$M$3:$M$53,MATCH(E78,Preise!$A$3:$A$53,0)),"")="dünn",1,0)</f>
        <v>1</v>
      </c>
      <c r="K78" s="8" t="s">
        <v>315</v>
      </c>
    </row>
    <row r="79" customFormat="false" ht="15" hidden="false" customHeight="false" outlineLevel="0" collapsed="false">
      <c r="A79" s="8" t="s">
        <v>64</v>
      </c>
      <c r="B79" s="8" t="s">
        <v>24</v>
      </c>
      <c r="C79" s="8" t="s">
        <v>316</v>
      </c>
      <c r="D79" s="8" t="s">
        <v>317</v>
      </c>
      <c r="E79" s="8" t="s">
        <v>85</v>
      </c>
      <c r="F79" s="19" t="n">
        <v>1</v>
      </c>
      <c r="G79" s="7" t="str">
        <f aca="false">IFERROR(INDEX(Preise!$L$3:$L$53,MATCH(E79,Preise!$A$3:$A$53,0)),"")</f>
        <v/>
      </c>
      <c r="H79" s="10" t="str">
        <f aca="false">IF(G79="","",F79*G79)</f>
        <v/>
      </c>
      <c r="I79" s="22" t="n">
        <f aca="false">IF(G79="",1,0)</f>
        <v>1</v>
      </c>
      <c r="J79" s="9" t="n">
        <f aca="false">IF(IFERROR(INDEX(Preise!$M$3:$M$53,MATCH(E79,Preise!$A$3:$A$53,0)),"")="dünn",1,0)</f>
        <v>0</v>
      </c>
      <c r="K79" s="8" t="s">
        <v>318</v>
      </c>
    </row>
    <row r="80" customFormat="false" ht="15" hidden="false" customHeight="false" outlineLevel="0" collapsed="false">
      <c r="A80" s="8" t="s">
        <v>64</v>
      </c>
      <c r="B80" s="8" t="s">
        <v>24</v>
      </c>
      <c r="C80" s="8" t="s">
        <v>316</v>
      </c>
      <c r="D80" s="8" t="s">
        <v>319</v>
      </c>
      <c r="E80" s="8" t="s">
        <v>86</v>
      </c>
      <c r="F80" s="19" t="n">
        <v>1</v>
      </c>
      <c r="G80" s="7" t="n">
        <f aca="false">IFERROR(INDEX(Preise!$L$3:$L$53,MATCH(E80,Preise!$A$3:$A$53,0)),"")</f>
        <v>500</v>
      </c>
      <c r="H80" s="10" t="n">
        <f aca="false">IF(G80="","",F80*G80)</f>
        <v>500</v>
      </c>
      <c r="I80" s="22" t="n">
        <f aca="false">IF(G80="",1,0)</f>
        <v>0</v>
      </c>
      <c r="J80" s="9" t="n">
        <f aca="false">IF(IFERROR(INDEX(Preise!$M$3:$M$53,MATCH(E80,Preise!$A$3:$A$53,0)),"")="dünn",1,0)</f>
        <v>1</v>
      </c>
      <c r="K80" s="8"/>
    </row>
    <row r="81" customFormat="false" ht="15" hidden="false" customHeight="false" outlineLevel="0" collapsed="false">
      <c r="A81" s="8" t="s">
        <v>64</v>
      </c>
      <c r="B81" s="8" t="s">
        <v>24</v>
      </c>
      <c r="C81" s="8" t="s">
        <v>316</v>
      </c>
      <c r="D81" s="8" t="s">
        <v>319</v>
      </c>
      <c r="E81" s="8" t="s">
        <v>87</v>
      </c>
      <c r="F81" s="19" t="n">
        <v>10</v>
      </c>
      <c r="G81" s="7" t="n">
        <f aca="false">IFERROR(INDEX(Preise!$L$3:$L$53,MATCH(E81,Preise!$A$3:$A$53,0)),"")</f>
        <v>1000</v>
      </c>
      <c r="H81" s="10" t="n">
        <f aca="false">IF(G81="","",F81*G81)</f>
        <v>10000</v>
      </c>
      <c r="I81" s="22" t="n">
        <f aca="false">IF(G81="",1,0)</f>
        <v>0</v>
      </c>
      <c r="J81" s="9" t="n">
        <f aca="false">IF(IFERROR(INDEX(Preise!$M$3:$M$53,MATCH(E81,Preise!$A$3:$A$53,0)),"")="dünn",1,0)</f>
        <v>1</v>
      </c>
      <c r="K81" s="8"/>
    </row>
    <row r="82" customFormat="false" ht="15" hidden="false" customHeight="false" outlineLevel="0" collapsed="false">
      <c r="A82" s="8" t="s">
        <v>64</v>
      </c>
      <c r="B82" s="8" t="s">
        <v>24</v>
      </c>
      <c r="C82" s="8" t="s">
        <v>316</v>
      </c>
      <c r="D82" s="8" t="s">
        <v>319</v>
      </c>
      <c r="E82" s="8" t="s">
        <v>88</v>
      </c>
      <c r="F82" s="19" t="n">
        <v>4</v>
      </c>
      <c r="G82" s="7" t="str">
        <f aca="false">IFERROR(INDEX(Preise!$L$3:$L$53,MATCH(E82,Preise!$A$3:$A$53,0)),"")</f>
        <v/>
      </c>
      <c r="H82" s="10" t="str">
        <f aca="false">IF(G82="","",F82*G82)</f>
        <v/>
      </c>
      <c r="I82" s="22" t="n">
        <f aca="false">IF(G82="",1,0)</f>
        <v>1</v>
      </c>
      <c r="J82" s="9" t="n">
        <f aca="false">IF(IFERROR(INDEX(Preise!$M$3:$M$53,MATCH(E82,Preise!$A$3:$A$53,0)),"")="dünn",1,0)</f>
        <v>0</v>
      </c>
      <c r="K82" s="8"/>
    </row>
    <row r="83" customFormat="false" ht="15" hidden="false" customHeight="false" outlineLevel="0" collapsed="false">
      <c r="A83" s="8" t="s">
        <v>64</v>
      </c>
      <c r="B83" s="8" t="s">
        <v>24</v>
      </c>
      <c r="C83" s="8" t="s">
        <v>316</v>
      </c>
      <c r="D83" s="8" t="s">
        <v>319</v>
      </c>
      <c r="E83" s="8" t="s">
        <v>90</v>
      </c>
      <c r="F83" s="19" t="n">
        <v>4</v>
      </c>
      <c r="G83" s="7" t="n">
        <f aca="false">IFERROR(INDEX(Preise!$L$3:$L$53,MATCH(E83,Preise!$A$3:$A$53,0)),"")</f>
        <v>488</v>
      </c>
      <c r="H83" s="10" t="n">
        <f aca="false">IF(G83="","",F83*G83)</f>
        <v>1952</v>
      </c>
      <c r="I83" s="22" t="n">
        <f aca="false">IF(G83="",1,0)</f>
        <v>0</v>
      </c>
      <c r="J83" s="9" t="n">
        <f aca="false">IF(IFERROR(INDEX(Preise!$M$3:$M$53,MATCH(E83,Preise!$A$3:$A$53,0)),"")="dünn",1,0)</f>
        <v>1</v>
      </c>
      <c r="K83" s="8"/>
    </row>
    <row r="84" customFormat="false" ht="15" hidden="false" customHeight="false" outlineLevel="0" collapsed="false">
      <c r="A84" s="8" t="s">
        <v>64</v>
      </c>
      <c r="B84" s="8" t="s">
        <v>24</v>
      </c>
      <c r="C84" s="8" t="s">
        <v>316</v>
      </c>
      <c r="D84" s="8" t="s">
        <v>319</v>
      </c>
      <c r="E84" s="8" t="s">
        <v>91</v>
      </c>
      <c r="F84" s="19" t="n">
        <v>2</v>
      </c>
      <c r="G84" s="7" t="str">
        <f aca="false">IFERROR(INDEX(Preise!$L$3:$L$53,MATCH(E84,Preise!$A$3:$A$53,0)),"")</f>
        <v/>
      </c>
      <c r="H84" s="10" t="str">
        <f aca="false">IF(G84="","",F84*G84)</f>
        <v/>
      </c>
      <c r="I84" s="22" t="n">
        <f aca="false">IF(G84="",1,0)</f>
        <v>1</v>
      </c>
      <c r="J84" s="9" t="n">
        <f aca="false">IF(IFERROR(INDEX(Preise!$M$3:$M$53,MATCH(E84,Preise!$A$3:$A$53,0)),"")="dünn",1,0)</f>
        <v>0</v>
      </c>
      <c r="K84" s="8"/>
    </row>
    <row r="85" customFormat="false" ht="15" hidden="false" customHeight="false" outlineLevel="0" collapsed="false">
      <c r="A85" s="8" t="s">
        <v>64</v>
      </c>
      <c r="B85" s="8" t="s">
        <v>24</v>
      </c>
      <c r="C85" s="8" t="s">
        <v>320</v>
      </c>
      <c r="D85" s="8" t="s">
        <v>321</v>
      </c>
      <c r="E85" s="8" t="s">
        <v>87</v>
      </c>
      <c r="F85" s="19" t="n">
        <v>40</v>
      </c>
      <c r="G85" s="7" t="n">
        <f aca="false">IFERROR(INDEX(Preise!$L$3:$L$53,MATCH(E85,Preise!$A$3:$A$53,0)),"")</f>
        <v>1000</v>
      </c>
      <c r="H85" s="10" t="n">
        <f aca="false">IF(G85="","",F85*G85)</f>
        <v>40000</v>
      </c>
      <c r="I85" s="22" t="n">
        <f aca="false">IF(G85="",1,0)</f>
        <v>0</v>
      </c>
      <c r="J85" s="9" t="n">
        <f aca="false">IF(IFERROR(INDEX(Preise!$M$3:$M$53,MATCH(E85,Preise!$A$3:$A$53,0)),"")="dünn",1,0)</f>
        <v>1</v>
      </c>
      <c r="K85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0" topLeftCell="B21" activePane="bottomRight" state="frozen"/>
      <selection pane="topLeft" activeCell="A1" activeCellId="0" sqref="A1"/>
      <selection pane="topRight" activeCell="B1" activeCellId="0" sqref="B1"/>
      <selection pane="bottomLeft" activeCell="A21" activeCellId="0" sqref="A21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1"/>
    <col collapsed="false" customWidth="true" hidden="false" outlineLevel="0" max="4" min="4" style="0" width="20"/>
    <col collapsed="false" customWidth="true" hidden="false" outlineLevel="0" max="5" min="5" style="0" width="10"/>
    <col collapsed="false" customWidth="true" hidden="false" outlineLevel="0" max="6" min="6" style="0" width="22"/>
    <col collapsed="false" customWidth="true" hidden="false" outlineLevel="0" max="7" min="7" style="0" width="10"/>
    <col collapsed="false" customWidth="true" hidden="false" outlineLevel="0" max="8" min="8" style="0" width="20"/>
    <col collapsed="false" customWidth="true" hidden="false" outlineLevel="0" max="9" min="9" style="0" width="10"/>
    <col collapsed="false" customWidth="true" hidden="false" outlineLevel="0" max="10" min="10" style="0" width="13"/>
    <col collapsed="false" customWidth="true" hidden="false" outlineLevel="0" max="11" min="11" style="0" width="12"/>
    <col collapsed="false" customWidth="true" hidden="false" outlineLevel="0" max="12" min="12" style="0" width="11"/>
    <col collapsed="false" customWidth="true" hidden="false" outlineLevel="0" max="14" min="13" style="0" width="13"/>
    <col collapsed="false" customWidth="true" hidden="false" outlineLevel="0" max="15" min="15" style="0" width="11"/>
    <col collapsed="false" customWidth="true" hidden="false" outlineLevel="0" max="16" min="16" style="0" width="16"/>
    <col collapsed="false" customWidth="true" hidden="false" outlineLevel="0" max="17" min="17" style="0" width="6"/>
    <col collapsed="false" customWidth="true" hidden="false" outlineLevel="0" max="18" min="18" style="0" width="16"/>
    <col collapsed="false" customWidth="true" hidden="false" outlineLevel="0" max="19" min="19" style="0" width="6"/>
    <col collapsed="false" customWidth="true" hidden="false" outlineLevel="0" max="20" min="20" style="0" width="16"/>
    <col collapsed="false" customWidth="true" hidden="false" outlineLevel="0" max="21" min="21" style="0" width="6"/>
    <col collapsed="false" customWidth="true" hidden="false" outlineLevel="0" max="22" min="22" style="0" width="16"/>
    <col collapsed="false" customWidth="true" hidden="false" outlineLevel="0" max="23" min="23" style="0" width="6"/>
    <col collapsed="false" customWidth="true" hidden="false" outlineLevel="0" max="24" min="24" style="0" width="16"/>
    <col collapsed="false" customWidth="true" hidden="false" outlineLevel="0" max="25" min="25" style="0" width="6"/>
    <col collapsed="false" customWidth="true" hidden="false" outlineLevel="0" max="26" min="26" style="0" width="16"/>
    <col collapsed="false" customWidth="true" hidden="false" outlineLevel="0" max="27" min="27" style="0" width="6"/>
    <col collapsed="false" customWidth="true" hidden="false" outlineLevel="0" max="28" min="28" style="0" width="9"/>
    <col collapsed="false" customWidth="true" hidden="false" outlineLevel="0" max="29" min="29" style="0" width="40"/>
    <col collapsed="false" customWidth="true" hidden="false" outlineLevel="0" max="30" min="30" style="0" width="50"/>
  </cols>
  <sheetData>
    <row r="1" customFormat="false" ht="15" hidden="false" customHeight="false" outlineLevel="0" collapsed="false">
      <c r="A1" s="3" t="s">
        <v>322</v>
      </c>
    </row>
    <row r="2" customFormat="false" ht="15" hidden="false" customHeight="false" outlineLevel="0" collapsed="false">
      <c r="A2" s="2" t="s">
        <v>323</v>
      </c>
    </row>
    <row r="3" customFormat="false" ht="15" hidden="false" customHeight="false" outlineLevel="0" collapsed="false">
      <c r="A3" s="8" t="s">
        <v>324</v>
      </c>
      <c r="B3" s="23" t="n">
        <v>0.75</v>
      </c>
    </row>
    <row r="4" customFormat="false" ht="15" hidden="false" customHeight="false" outlineLevel="0" collapsed="false">
      <c r="A4" s="8" t="s">
        <v>325</v>
      </c>
      <c r="B4" s="23" t="n">
        <v>0.2</v>
      </c>
    </row>
    <row r="5" customFormat="false" ht="15" hidden="false" customHeight="false" outlineLevel="0" collapsed="false">
      <c r="A5" s="8" t="s">
        <v>326</v>
      </c>
      <c r="B5" s="23" t="n">
        <v>0.04</v>
      </c>
      <c r="C5" s="2" t="s">
        <v>327</v>
      </c>
    </row>
    <row r="7" customFormat="false" ht="23.85" hidden="false" customHeight="false" outlineLevel="0" collapsed="false">
      <c r="A7" s="6" t="s">
        <v>328</v>
      </c>
      <c r="B7" s="6" t="s">
        <v>329</v>
      </c>
      <c r="C7" s="6" t="s">
        <v>330</v>
      </c>
      <c r="D7" s="6" t="s">
        <v>331</v>
      </c>
      <c r="E7" s="6" t="s">
        <v>332</v>
      </c>
      <c r="F7" s="6" t="s">
        <v>333</v>
      </c>
      <c r="G7" s="6" t="s">
        <v>334</v>
      </c>
      <c r="H7" s="6" t="s">
        <v>335</v>
      </c>
      <c r="I7" s="6" t="s">
        <v>336</v>
      </c>
    </row>
    <row r="8" customFormat="false" ht="15" hidden="false" customHeight="false" outlineLevel="0" collapsed="false">
      <c r="A8" s="16" t="n">
        <v>1</v>
      </c>
      <c r="B8" s="16" t="n">
        <v>10</v>
      </c>
      <c r="C8" s="16" t="s">
        <v>65</v>
      </c>
      <c r="D8" s="16" t="n">
        <v>1</v>
      </c>
      <c r="E8" s="16" t="n">
        <v>2</v>
      </c>
      <c r="F8" s="16" t="s">
        <v>66</v>
      </c>
      <c r="G8" s="16" t="n">
        <v>1</v>
      </c>
      <c r="H8" s="16" t="n">
        <v>2</v>
      </c>
      <c r="I8" s="16" t="s">
        <v>169</v>
      </c>
    </row>
    <row r="9" customFormat="false" ht="15" hidden="false" customHeight="false" outlineLevel="0" collapsed="false">
      <c r="A9" s="16" t="n">
        <v>11</v>
      </c>
      <c r="B9" s="16" t="n">
        <v>15</v>
      </c>
      <c r="C9" s="16" t="s">
        <v>65</v>
      </c>
      <c r="D9" s="16" t="n">
        <v>2</v>
      </c>
      <c r="E9" s="16" t="n">
        <v>3</v>
      </c>
      <c r="F9" s="16" t="s">
        <v>68</v>
      </c>
      <c r="G9" s="16" t="n">
        <v>1</v>
      </c>
      <c r="H9" s="16" t="n">
        <v>2</v>
      </c>
      <c r="I9" s="16" t="s">
        <v>153</v>
      </c>
    </row>
    <row r="10" customFormat="false" ht="15" hidden="false" customHeight="false" outlineLevel="0" collapsed="false">
      <c r="A10" s="16" t="n">
        <v>16</v>
      </c>
      <c r="B10" s="16" t="n">
        <v>20</v>
      </c>
      <c r="C10" s="16" t="s">
        <v>65</v>
      </c>
      <c r="D10" s="16" t="n">
        <v>4</v>
      </c>
      <c r="E10" s="16" t="n">
        <v>6</v>
      </c>
      <c r="F10" s="16" t="s">
        <v>72</v>
      </c>
      <c r="G10" s="16" t="n">
        <v>1</v>
      </c>
      <c r="H10" s="16" t="n">
        <v>2</v>
      </c>
      <c r="I10" s="16" t="s">
        <v>153</v>
      </c>
    </row>
    <row r="11" customFormat="false" ht="15" hidden="false" customHeight="false" outlineLevel="0" collapsed="false">
      <c r="A11" s="16" t="n">
        <v>21</v>
      </c>
      <c r="B11" s="16" t="n">
        <v>25</v>
      </c>
      <c r="C11" s="16" t="s">
        <v>73</v>
      </c>
      <c r="D11" s="16" t="n">
        <v>1</v>
      </c>
      <c r="E11" s="16" t="n">
        <v>2</v>
      </c>
      <c r="F11" s="16" t="s">
        <v>76</v>
      </c>
      <c r="G11" s="16" t="n">
        <v>1</v>
      </c>
      <c r="H11" s="16" t="n">
        <v>2</v>
      </c>
      <c r="I11" s="16" t="s">
        <v>155</v>
      </c>
    </row>
    <row r="12" customFormat="false" ht="15" hidden="false" customHeight="false" outlineLevel="0" collapsed="false">
      <c r="A12" s="16" t="n">
        <v>26</v>
      </c>
      <c r="B12" s="16" t="n">
        <v>30</v>
      </c>
      <c r="C12" s="16" t="s">
        <v>73</v>
      </c>
      <c r="D12" s="16" t="n">
        <v>2</v>
      </c>
      <c r="E12" s="16" t="n">
        <v>5</v>
      </c>
      <c r="F12" s="16" t="s">
        <v>143</v>
      </c>
      <c r="G12" s="16" t="n">
        <v>1</v>
      </c>
      <c r="H12" s="16" t="n">
        <v>2</v>
      </c>
      <c r="I12" s="16" t="s">
        <v>157</v>
      </c>
    </row>
    <row r="13" customFormat="false" ht="15" hidden="false" customHeight="false" outlineLevel="0" collapsed="false">
      <c r="A13" s="16" t="n">
        <v>31</v>
      </c>
      <c r="B13" s="16" t="n">
        <v>35</v>
      </c>
      <c r="C13" s="16" t="s">
        <v>77</v>
      </c>
      <c r="D13" s="16" t="n">
        <v>1</v>
      </c>
      <c r="E13" s="16" t="n">
        <v>2</v>
      </c>
      <c r="F13" s="16" t="s">
        <v>80</v>
      </c>
      <c r="G13" s="16" t="n">
        <v>1</v>
      </c>
      <c r="H13" s="16" t="n">
        <v>2</v>
      </c>
      <c r="I13" s="16" t="s">
        <v>159</v>
      </c>
    </row>
    <row r="14" customFormat="false" ht="15" hidden="false" customHeight="false" outlineLevel="0" collapsed="false">
      <c r="A14" s="16" t="n">
        <v>36</v>
      </c>
      <c r="B14" s="16" t="n">
        <v>40</v>
      </c>
      <c r="C14" s="16" t="s">
        <v>77</v>
      </c>
      <c r="D14" s="16" t="n">
        <v>2</v>
      </c>
      <c r="E14" s="16" t="n">
        <v>5</v>
      </c>
      <c r="F14" s="16" t="s">
        <v>81</v>
      </c>
      <c r="G14" s="16" t="n">
        <v>1</v>
      </c>
      <c r="H14" s="16" t="n">
        <v>2</v>
      </c>
      <c r="I14" s="16" t="s">
        <v>161</v>
      </c>
    </row>
    <row r="15" customFormat="false" ht="15" hidden="false" customHeight="false" outlineLevel="0" collapsed="false">
      <c r="A15" s="16" t="n">
        <v>41</v>
      </c>
      <c r="B15" s="16" t="n">
        <v>45</v>
      </c>
      <c r="C15" s="16" t="s">
        <v>82</v>
      </c>
      <c r="D15" s="16" t="n">
        <v>1</v>
      </c>
      <c r="E15" s="16" t="n">
        <v>2</v>
      </c>
      <c r="F15" s="16" t="s">
        <v>147</v>
      </c>
      <c r="G15" s="16" t="n">
        <v>1</v>
      </c>
      <c r="H15" s="16" t="n">
        <v>2</v>
      </c>
      <c r="I15" s="16" t="s">
        <v>163</v>
      </c>
    </row>
    <row r="16" customFormat="false" ht="15" hidden="false" customHeight="false" outlineLevel="0" collapsed="false">
      <c r="A16" s="16" t="n">
        <v>46</v>
      </c>
      <c r="B16" s="16" t="n">
        <v>50</v>
      </c>
      <c r="C16" s="16" t="s">
        <v>82</v>
      </c>
      <c r="D16" s="16" t="n">
        <v>2</v>
      </c>
      <c r="E16" s="16" t="n">
        <v>5</v>
      </c>
      <c r="F16" s="16" t="s">
        <v>149</v>
      </c>
      <c r="G16" s="16" t="n">
        <v>1</v>
      </c>
      <c r="H16" s="16" t="n">
        <v>2</v>
      </c>
      <c r="I16" s="16" t="s">
        <v>90</v>
      </c>
    </row>
    <row r="17" customFormat="false" ht="15" hidden="false" customHeight="false" outlineLevel="0" collapsed="false">
      <c r="A17" s="16" t="n">
        <v>51</v>
      </c>
      <c r="B17" s="16" t="n">
        <v>55</v>
      </c>
      <c r="C17" s="16" t="s">
        <v>87</v>
      </c>
      <c r="D17" s="16" t="n">
        <v>1</v>
      </c>
      <c r="E17" s="16" t="n">
        <v>2</v>
      </c>
      <c r="F17" s="16" t="s">
        <v>88</v>
      </c>
      <c r="G17" s="16" t="n">
        <v>1</v>
      </c>
      <c r="H17" s="16" t="n">
        <v>2</v>
      </c>
      <c r="I17" s="16" t="s">
        <v>91</v>
      </c>
    </row>
    <row r="18" customFormat="false" ht="15" hidden="false" customHeight="false" outlineLevel="0" collapsed="false">
      <c r="A18" s="16" t="n">
        <v>56</v>
      </c>
      <c r="B18" s="16" t="n">
        <v>60</v>
      </c>
      <c r="C18" s="16" t="s">
        <v>87</v>
      </c>
      <c r="D18" s="16" t="n">
        <v>2</v>
      </c>
      <c r="E18" s="16" t="n">
        <v>5</v>
      </c>
      <c r="F18" s="16" t="s">
        <v>88</v>
      </c>
      <c r="G18" s="16" t="n">
        <v>1</v>
      </c>
      <c r="H18" s="16" t="n">
        <v>3</v>
      </c>
      <c r="I18" s="16" t="s">
        <v>91</v>
      </c>
    </row>
    <row r="20" customFormat="false" ht="35.05" hidden="false" customHeight="false" outlineLevel="0" collapsed="false">
      <c r="A20" s="6" t="s">
        <v>337</v>
      </c>
      <c r="B20" s="6" t="s">
        <v>338</v>
      </c>
      <c r="C20" s="6" t="s">
        <v>339</v>
      </c>
      <c r="D20" s="6" t="s">
        <v>330</v>
      </c>
      <c r="E20" s="6" t="s">
        <v>340</v>
      </c>
      <c r="F20" s="6" t="s">
        <v>333</v>
      </c>
      <c r="G20" s="6" t="s">
        <v>341</v>
      </c>
      <c r="H20" s="6" t="s">
        <v>336</v>
      </c>
      <c r="I20" s="6" t="s">
        <v>342</v>
      </c>
      <c r="J20" s="6" t="s">
        <v>343</v>
      </c>
      <c r="K20" s="6" t="s">
        <v>344</v>
      </c>
      <c r="L20" s="6" t="s">
        <v>93</v>
      </c>
      <c r="M20" s="6" t="s">
        <v>345</v>
      </c>
      <c r="N20" s="6" t="s">
        <v>346</v>
      </c>
      <c r="O20" s="6" t="s">
        <v>347</v>
      </c>
      <c r="P20" s="6" t="s">
        <v>348</v>
      </c>
      <c r="Q20" s="6" t="s">
        <v>193</v>
      </c>
      <c r="R20" s="6" t="s">
        <v>349</v>
      </c>
      <c r="S20" s="6" t="s">
        <v>193</v>
      </c>
      <c r="T20" s="6" t="s">
        <v>350</v>
      </c>
      <c r="U20" s="6" t="s">
        <v>193</v>
      </c>
      <c r="V20" s="6" t="s">
        <v>351</v>
      </c>
      <c r="W20" s="6" t="s">
        <v>193</v>
      </c>
      <c r="X20" s="6" t="s">
        <v>352</v>
      </c>
      <c r="Y20" s="6" t="s">
        <v>193</v>
      </c>
      <c r="Z20" s="6" t="s">
        <v>353</v>
      </c>
      <c r="AA20" s="6" t="s">
        <v>193</v>
      </c>
      <c r="AB20" s="6" t="s">
        <v>354</v>
      </c>
      <c r="AC20" s="6" t="s">
        <v>355</v>
      </c>
      <c r="AD20" s="6" t="s">
        <v>356</v>
      </c>
    </row>
    <row r="21" customFormat="false" ht="15" hidden="false" customHeight="false" outlineLevel="0" collapsed="false">
      <c r="A21" s="8" t="s">
        <v>357</v>
      </c>
      <c r="B21" s="16" t="n">
        <v>8</v>
      </c>
      <c r="C21" s="22" t="n">
        <f aca="false">MATCH(B21,$A$8:$A$18,1)</f>
        <v>1</v>
      </c>
      <c r="D21" s="8" t="str">
        <f aca="false">INDEX($C$8:$C$18,C21)</f>
        <v>Strange Dust</v>
      </c>
      <c r="E21" s="24" t="n">
        <f aca="false">$B$3*(INDEX($D$8:$D$18,C21)+INDEX($E$8:$E$18,C21))/2</f>
        <v>1.125</v>
      </c>
      <c r="F21" s="8" t="str">
        <f aca="false">INDEX($F$8:$F$18,C21)</f>
        <v>Lesser Magic Essence</v>
      </c>
      <c r="G21" s="24" t="n">
        <f aca="false">$B$4*(INDEX($G$8:$G$18,C21)+INDEX($H$8:$H$18,C21))/2</f>
        <v>0.3</v>
      </c>
      <c r="H21" s="8" t="str">
        <f aca="false">INDEX($I$8:$I$18,C21)</f>
        <v>–</v>
      </c>
      <c r="I21" s="24" t="n">
        <f aca="false">IF(H21="–",0,$B$5)</f>
        <v>0</v>
      </c>
      <c r="J21" s="7" t="n">
        <f aca="false">IFERROR(E21*INDEX(Preise!$L$3:$L$53,MATCH(D21,Preise!$A$3:$A$53,0)),0)+IFERROR(G21*INDEX(Preise!$L$3:$L$53,MATCH(F21,Preise!$A$3:$A$53,0)),0)+IF(H21="–",0,IFERROR(I21*INDEX(Preise!$L$3:$L$53,MATCH(H21,Preise!$A$3:$A$53,0)),0))</f>
        <v>1.152</v>
      </c>
      <c r="K21" s="7" t="n">
        <f aca="false">IF(P21="",0,IFERROR(Q21*INDEX(Preise!$L$3:$L$53,MATCH(P21,Preise!$A$3:$A$53,0)),0))+IF(R21="",0,IFERROR(S21*INDEX(Preise!$L$3:$L$53,MATCH(R21,Preise!$A$3:$A$53,0)),0))+IF(T21="",0,IFERROR(U21*INDEX(Preise!$L$3:$L$53,MATCH(T21,Preise!$A$3:$A$53,0)),0))+IF(V21="",0,IFERROR(W21*INDEX(Preise!$L$3:$L$53,MATCH(V21,Preise!$A$3:$A$53,0)),0))+IF(X21="",0,IFERROR(Y21*INDEX(Preise!$L$3:$L$53,MATCH(X21,Preise!$A$3:$A$53,0)),0))+IF(Z21="",0,IFERROR(AA21*INDEX(Preise!$L$3:$L$53,MATCH(Z21,Preise!$A$3:$A$53,0)),0))</f>
        <v>1.7</v>
      </c>
      <c r="L21" s="18" t="n">
        <v>0.71</v>
      </c>
      <c r="M21" s="10" t="n">
        <f aca="false">J21-K21</f>
        <v>-0.548</v>
      </c>
      <c r="N21" s="10" t="n">
        <f aca="false">L21-K21</f>
        <v>-0.99</v>
      </c>
      <c r="O21" s="25" t="n">
        <v>30</v>
      </c>
      <c r="P21" s="8" t="s">
        <v>46</v>
      </c>
      <c r="Q21" s="25" t="n">
        <v>3</v>
      </c>
      <c r="R21" s="8" t="s">
        <v>50</v>
      </c>
      <c r="S21" s="25" t="n">
        <v>2</v>
      </c>
      <c r="AB21" s="9" t="n">
        <f aca="false">IF(P21="",0,IF(IFERROR(INDEX(Preise!$L$3:$L$53,MATCH(P21,Preise!$A$3:$A$53,0)),"")="",1,0))+IF(R21="",0,IF(IFERROR(INDEX(Preise!$L$3:$L$53,MATCH(R21,Preise!$A$3:$A$53,0)),"")="",1,0))+IF(T21="",0,IF(IFERROR(INDEX(Preise!$L$3:$L$53,MATCH(T21,Preise!$A$3:$A$53,0)),"")="",1,0))+IF(V21="",0,IF(IFERROR(INDEX(Preise!$L$3:$L$53,MATCH(V21,Preise!$A$3:$A$53,0)),"")="",1,0))+IF(X21="",0,IF(IFERROR(INDEX(Preise!$L$3:$L$53,MATCH(X21,Preise!$A$3:$A$53,0)),"")="",1,0))+IF(Z21="",0,IF(IFERROR(INDEX(Preise!$L$3:$L$53,MATCH(Z21,Preise!$A$3:$A$53,0)),"")="",1,0))+IF(IFERROR(INDEX(Preise!$L$3:$L$53,MATCH(D21,Preise!$A$3:$A$53,0)),"")="",1,0)+IF(IFERROR(INDEX(Preise!$L$3:$L$53,MATCH(F21,Preise!$A$3:$A$53,0)),"")="",1,0)+IF(H21="–",0,IF(IFERROR(INDEX(Preise!$L$3:$L$53,MATCH(H21,Preise!$A$3:$A$53,0)),"")="",1,0))</f>
        <v>0</v>
      </c>
      <c r="AC21" s="2" t="s">
        <v>358</v>
      </c>
      <c r="AD21" s="21" t="s">
        <v>359</v>
      </c>
    </row>
    <row r="22" customFormat="false" ht="15" hidden="false" customHeight="false" outlineLevel="0" collapsed="false">
      <c r="A22" s="8" t="s">
        <v>360</v>
      </c>
      <c r="B22" s="16" t="n">
        <v>11</v>
      </c>
      <c r="C22" s="22" t="n">
        <f aca="false">MATCH(B22,$A$8:$A$18,1)</f>
        <v>2</v>
      </c>
      <c r="D22" s="8" t="str">
        <f aca="false">INDEX($C$8:$C$18,C22)</f>
        <v>Strange Dust</v>
      </c>
      <c r="E22" s="24" t="n">
        <f aca="false">$B$3*(INDEX($D$8:$D$18,C22)+INDEX($E$8:$E$18,C22))/2</f>
        <v>1.875</v>
      </c>
      <c r="F22" s="8" t="str">
        <f aca="false">INDEX($F$8:$F$18,C22)</f>
        <v>Greater Magic Essence</v>
      </c>
      <c r="G22" s="24" t="n">
        <f aca="false">$B$4*(INDEX($G$8:$G$18,C22)+INDEX($H$8:$H$18,C22))/2</f>
        <v>0.3</v>
      </c>
      <c r="H22" s="8" t="str">
        <f aca="false">INDEX($I$8:$I$18,C22)</f>
        <v>Small Glimmering Shard</v>
      </c>
      <c r="I22" s="24" t="n">
        <f aca="false">IF(H22="–",0,$B$5)</f>
        <v>0.04</v>
      </c>
      <c r="J22" s="7" t="n">
        <f aca="false">IFERROR(E22*INDEX(Preise!$L$3:$L$53,MATCH(D22,Preise!$A$3:$A$53,0)),0)+IFERROR(G22*INDEX(Preise!$L$3:$L$53,MATCH(F22,Preise!$A$3:$A$53,0)),0)+IF(H22="–",0,IFERROR(I22*INDEX(Preise!$L$3:$L$53,MATCH(H22,Preise!$A$3:$A$53,0)),0))</f>
        <v>2.3094</v>
      </c>
      <c r="K22" s="7" t="n">
        <f aca="false">IF(P22="",0,IFERROR(Q22*INDEX(Preise!$L$3:$L$53,MATCH(P22,Preise!$A$3:$A$53,0)),0))+IF(R22="",0,IFERROR(S22*INDEX(Preise!$L$3:$L$53,MATCH(R22,Preise!$A$3:$A$53,0)),0))+IF(T22="",0,IFERROR(U22*INDEX(Preise!$L$3:$L$53,MATCH(T22,Preise!$A$3:$A$53,0)),0))+IF(V22="",0,IFERROR(W22*INDEX(Preise!$L$3:$L$53,MATCH(V22,Preise!$A$3:$A$53,0)),0))+IF(X22="",0,IFERROR(Y22*INDEX(Preise!$L$3:$L$53,MATCH(X22,Preise!$A$3:$A$53,0)),0))+IF(Z22="",0,IFERROR(AA22*INDEX(Preise!$L$3:$L$53,MATCH(Z22,Preise!$A$3:$A$53,0)),0))</f>
        <v>3.2</v>
      </c>
      <c r="L22" s="18" t="n">
        <v>1.25</v>
      </c>
      <c r="M22" s="10" t="n">
        <f aca="false">J22-K22</f>
        <v>-0.8906</v>
      </c>
      <c r="N22" s="10" t="n">
        <f aca="false">L22-K22</f>
        <v>-1.95</v>
      </c>
      <c r="O22" s="25" t="n">
        <v>0</v>
      </c>
      <c r="P22" s="8" t="s">
        <v>46</v>
      </c>
      <c r="Q22" s="25" t="n">
        <v>6</v>
      </c>
      <c r="R22" s="8" t="s">
        <v>50</v>
      </c>
      <c r="S22" s="25" t="n">
        <v>2</v>
      </c>
      <c r="AB22" s="9" t="n">
        <f aca="false">IF(P22="",0,IF(IFERROR(INDEX(Preise!$L$3:$L$53,MATCH(P22,Preise!$A$3:$A$53,0)),"")="",1,0))+IF(R22="",0,IF(IFERROR(INDEX(Preise!$L$3:$L$53,MATCH(R22,Preise!$A$3:$A$53,0)),"")="",1,0))+IF(T22="",0,IF(IFERROR(INDEX(Preise!$L$3:$L$53,MATCH(T22,Preise!$A$3:$A$53,0)),"")="",1,0))+IF(V22="",0,IF(IFERROR(INDEX(Preise!$L$3:$L$53,MATCH(V22,Preise!$A$3:$A$53,0)),"")="",1,0))+IF(X22="",0,IF(IFERROR(INDEX(Preise!$L$3:$L$53,MATCH(X22,Preise!$A$3:$A$53,0)),"")="",1,0))+IF(Z22="",0,IF(IFERROR(INDEX(Preise!$L$3:$L$53,MATCH(Z22,Preise!$A$3:$A$53,0)),"")="",1,0))+IF(IFERROR(INDEX(Preise!$L$3:$L$53,MATCH(D22,Preise!$A$3:$A$53,0)),"")="",1,0)+IF(IFERROR(INDEX(Preise!$L$3:$L$53,MATCH(F22,Preise!$A$3:$A$53,0)),"")="",1,0)+IF(H22="–",0,IF(IFERROR(INDEX(Preise!$L$3:$L$53,MATCH(H22,Preise!$A$3:$A$53,0)),"")="",1,0))</f>
        <v>0</v>
      </c>
      <c r="AC22" s="2" t="s">
        <v>361</v>
      </c>
      <c r="AD22" s="21" t="s">
        <v>362</v>
      </c>
    </row>
    <row r="23" customFormat="false" ht="15" hidden="false" customHeight="false" outlineLevel="0" collapsed="false">
      <c r="A23" s="8" t="s">
        <v>363</v>
      </c>
      <c r="B23" s="16" t="n">
        <v>14</v>
      </c>
      <c r="C23" s="22" t="n">
        <f aca="false">MATCH(B23,$A$8:$A$18,1)</f>
        <v>2</v>
      </c>
      <c r="D23" s="8" t="str">
        <f aca="false">INDEX($C$8:$C$18,C23)</f>
        <v>Strange Dust</v>
      </c>
      <c r="E23" s="24" t="n">
        <f aca="false">$B$3*(INDEX($D$8:$D$18,C23)+INDEX($E$8:$E$18,C23))/2</f>
        <v>1.875</v>
      </c>
      <c r="F23" s="8" t="str">
        <f aca="false">INDEX($F$8:$F$18,C23)</f>
        <v>Greater Magic Essence</v>
      </c>
      <c r="G23" s="24" t="n">
        <f aca="false">$B$4*(INDEX($G$8:$G$18,C23)+INDEX($H$8:$H$18,C23))/2</f>
        <v>0.3</v>
      </c>
      <c r="H23" s="8" t="str">
        <f aca="false">INDEX($I$8:$I$18,C23)</f>
        <v>Small Glimmering Shard</v>
      </c>
      <c r="I23" s="24" t="n">
        <f aca="false">IF(H23="–",0,$B$5)</f>
        <v>0.04</v>
      </c>
      <c r="J23" s="7" t="n">
        <f aca="false">IFERROR(E23*INDEX(Preise!$L$3:$L$53,MATCH(D23,Preise!$A$3:$A$53,0)),0)+IFERROR(G23*INDEX(Preise!$L$3:$L$53,MATCH(F23,Preise!$A$3:$A$53,0)),0)+IF(H23="–",0,IFERROR(I23*INDEX(Preise!$L$3:$L$53,MATCH(H23,Preise!$A$3:$A$53,0)),0))</f>
        <v>2.3094</v>
      </c>
      <c r="K23" s="7" t="n">
        <f aca="false">IF(P23="",0,IFERROR(Q23*INDEX(Preise!$L$3:$L$53,MATCH(P23,Preise!$A$3:$A$53,0)),0))+IF(R23="",0,IFERROR(S23*INDEX(Preise!$L$3:$L$53,MATCH(R23,Preise!$A$3:$A$53,0)),0))+IF(T23="",0,IFERROR(U23*INDEX(Preise!$L$3:$L$53,MATCH(T23,Preise!$A$3:$A$53,0)),0))+IF(V23="",0,IFERROR(W23*INDEX(Preise!$L$3:$L$53,MATCH(V23,Preise!$A$3:$A$53,0)),0))+IF(X23="",0,IFERROR(Y23*INDEX(Preise!$L$3:$L$53,MATCH(X23,Preise!$A$3:$A$53,0)),0))+IF(Z23="",0,IFERROR(AA23*INDEX(Preise!$L$3:$L$53,MATCH(Z23,Preise!$A$3:$A$53,0)),0))</f>
        <v>7.19</v>
      </c>
      <c r="L23" s="18" t="n">
        <v>5.99</v>
      </c>
      <c r="M23" s="10" t="n">
        <f aca="false">J23-K23</f>
        <v>-4.8806</v>
      </c>
      <c r="N23" s="10" t="n">
        <f aca="false">L23-K23</f>
        <v>-1.2</v>
      </c>
      <c r="O23" s="25" t="n">
        <v>0</v>
      </c>
      <c r="P23" s="8" t="s">
        <v>46</v>
      </c>
      <c r="Q23" s="25" t="n">
        <v>10</v>
      </c>
      <c r="R23" s="8" t="s">
        <v>47</v>
      </c>
      <c r="S23" s="25" t="n">
        <v>1</v>
      </c>
      <c r="T23" s="8" t="s">
        <v>48</v>
      </c>
      <c r="U23" s="25" t="n">
        <v>1</v>
      </c>
      <c r="V23" s="8" t="s">
        <v>53</v>
      </c>
      <c r="W23" s="25" t="n">
        <v>1</v>
      </c>
      <c r="AB23" s="9" t="n">
        <f aca="false">IF(P23="",0,IF(IFERROR(INDEX(Preise!$L$3:$L$53,MATCH(P23,Preise!$A$3:$A$53,0)),"")="",1,0))+IF(R23="",0,IF(IFERROR(INDEX(Preise!$L$3:$L$53,MATCH(R23,Preise!$A$3:$A$53,0)),"")="",1,0))+IF(T23="",0,IF(IFERROR(INDEX(Preise!$L$3:$L$53,MATCH(T23,Preise!$A$3:$A$53,0)),"")="",1,0))+IF(V23="",0,IF(IFERROR(INDEX(Preise!$L$3:$L$53,MATCH(V23,Preise!$A$3:$A$53,0)),"")="",1,0))+IF(X23="",0,IF(IFERROR(INDEX(Preise!$L$3:$L$53,MATCH(X23,Preise!$A$3:$A$53,0)),"")="",1,0))+IF(Z23="",0,IF(IFERROR(INDEX(Preise!$L$3:$L$53,MATCH(Z23,Preise!$A$3:$A$53,0)),"")="",1,0))+IF(IFERROR(INDEX(Preise!$L$3:$L$53,MATCH(D23,Preise!$A$3:$A$53,0)),"")="",1,0)+IF(IFERROR(INDEX(Preise!$L$3:$L$53,MATCH(F23,Preise!$A$3:$A$53,0)),"")="",1,0)+IF(H23="–",0,IF(IFERROR(INDEX(Preise!$L$3:$L$53,MATCH(H23,Preise!$A$3:$A$53,0)),"")="",1,0))</f>
        <v>0</v>
      </c>
      <c r="AC23" s="2" t="s">
        <v>364</v>
      </c>
      <c r="AD23" s="21" t="s">
        <v>365</v>
      </c>
    </row>
    <row r="24" customFormat="false" ht="15" hidden="false" customHeight="false" outlineLevel="0" collapsed="false">
      <c r="A24" s="8" t="s">
        <v>366</v>
      </c>
      <c r="B24" s="16" t="n">
        <v>15</v>
      </c>
      <c r="C24" s="22" t="n">
        <f aca="false">MATCH(B24,$A$8:$A$18,1)</f>
        <v>2</v>
      </c>
      <c r="D24" s="8" t="str">
        <f aca="false">INDEX($C$8:$C$18,C24)</f>
        <v>Strange Dust</v>
      </c>
      <c r="E24" s="24" t="n">
        <f aca="false">$B$3*(INDEX($D$8:$D$18,C24)+INDEX($E$8:$E$18,C24))/2</f>
        <v>1.875</v>
      </c>
      <c r="F24" s="8" t="str">
        <f aca="false">INDEX($F$8:$F$18,C24)</f>
        <v>Greater Magic Essence</v>
      </c>
      <c r="G24" s="24" t="n">
        <f aca="false">$B$4*(INDEX($G$8:$G$18,C24)+INDEX($H$8:$H$18,C24))/2</f>
        <v>0.3</v>
      </c>
      <c r="H24" s="8" t="str">
        <f aca="false">INDEX($I$8:$I$18,C24)</f>
        <v>Small Glimmering Shard</v>
      </c>
      <c r="I24" s="24" t="n">
        <f aca="false">IF(H24="–",0,$B$5)</f>
        <v>0.04</v>
      </c>
      <c r="J24" s="7" t="n">
        <f aca="false">IFERROR(E24*INDEX(Preise!$L$3:$L$53,MATCH(D24,Preise!$A$3:$A$53,0)),0)+IFERROR(G24*INDEX(Preise!$L$3:$L$53,MATCH(F24,Preise!$A$3:$A$53,0)),0)+IF(H24="–",0,IFERROR(I24*INDEX(Preise!$L$3:$L$53,MATCH(H24,Preise!$A$3:$A$53,0)),0))</f>
        <v>2.3094</v>
      </c>
      <c r="K24" s="7" t="n">
        <f aca="false">IF(P24="",0,IFERROR(Q24*INDEX(Preise!$L$3:$L$53,MATCH(P24,Preise!$A$3:$A$53,0)),0))+IF(R24="",0,IFERROR(S24*INDEX(Preise!$L$3:$L$53,MATCH(R24,Preise!$A$3:$A$53,0)),0))+IF(T24="",0,IFERROR(U24*INDEX(Preise!$L$3:$L$53,MATCH(T24,Preise!$A$3:$A$53,0)),0))+IF(V24="",0,IFERROR(W24*INDEX(Preise!$L$3:$L$53,MATCH(V24,Preise!$A$3:$A$53,0)),0))+IF(X24="",0,IFERROR(Y24*INDEX(Preise!$L$3:$L$53,MATCH(X24,Preise!$A$3:$A$53,0)),0))+IF(Z24="",0,IFERROR(AA24*INDEX(Preise!$L$3:$L$53,MATCH(Z24,Preise!$A$3:$A$53,0)),0))</f>
        <v>13.14</v>
      </c>
      <c r="L24" s="18" t="n">
        <v>3.07</v>
      </c>
      <c r="M24" s="10" t="n">
        <f aca="false">J24-K24</f>
        <v>-10.8306</v>
      </c>
      <c r="N24" s="10" t="n">
        <f aca="false">L24-K24</f>
        <v>-10.07</v>
      </c>
      <c r="O24" s="25" t="n">
        <v>22</v>
      </c>
      <c r="P24" s="8" t="s">
        <v>52</v>
      </c>
      <c r="Q24" s="25" t="n">
        <v>4</v>
      </c>
      <c r="R24" s="8" t="s">
        <v>53</v>
      </c>
      <c r="S24" s="25" t="n">
        <v>2</v>
      </c>
      <c r="T24" s="8" t="s">
        <v>54</v>
      </c>
      <c r="U24" s="25" t="n">
        <v>1</v>
      </c>
      <c r="AB24" s="9" t="n">
        <f aca="false">IF(P24="",0,IF(IFERROR(INDEX(Preise!$L$3:$L$53,MATCH(P24,Preise!$A$3:$A$53,0)),"")="",1,0))+IF(R24="",0,IF(IFERROR(INDEX(Preise!$L$3:$L$53,MATCH(R24,Preise!$A$3:$A$53,0)),"")="",1,0))+IF(T24="",0,IF(IFERROR(INDEX(Preise!$L$3:$L$53,MATCH(T24,Preise!$A$3:$A$53,0)),"")="",1,0))+IF(V24="",0,IF(IFERROR(INDEX(Preise!$L$3:$L$53,MATCH(V24,Preise!$A$3:$A$53,0)),"")="",1,0))+IF(X24="",0,IF(IFERROR(INDEX(Preise!$L$3:$L$53,MATCH(X24,Preise!$A$3:$A$53,0)),"")="",1,0))+IF(Z24="",0,IF(IFERROR(INDEX(Preise!$L$3:$L$53,MATCH(Z24,Preise!$A$3:$A$53,0)),"")="",1,0))+IF(IFERROR(INDEX(Preise!$L$3:$L$53,MATCH(D24,Preise!$A$3:$A$53,0)),"")="",1,0)+IF(IFERROR(INDEX(Preise!$L$3:$L$53,MATCH(F24,Preise!$A$3:$A$53,0)),"")="",1,0)+IF(H24="–",0,IF(IFERROR(INDEX(Preise!$L$3:$L$53,MATCH(H24,Preise!$A$3:$A$53,0)),"")="",1,0))</f>
        <v>0</v>
      </c>
      <c r="AC24" s="2" t="s">
        <v>358</v>
      </c>
      <c r="AD24" s="21" t="s">
        <v>367</v>
      </c>
    </row>
    <row r="25" customFormat="false" ht="15" hidden="false" customHeight="false" outlineLevel="0" collapsed="false">
      <c r="A25" s="8" t="s">
        <v>368</v>
      </c>
      <c r="B25" s="16" t="n">
        <v>20</v>
      </c>
      <c r="C25" s="22" t="n">
        <f aca="false">MATCH(B25,$A$8:$A$18,1)</f>
        <v>3</v>
      </c>
      <c r="D25" s="8" t="str">
        <f aca="false">INDEX($C$8:$C$18,C25)</f>
        <v>Strange Dust</v>
      </c>
      <c r="E25" s="24" t="n">
        <f aca="false">$B$3*(INDEX($D$8:$D$18,C25)+INDEX($E$8:$E$18,C25))/2</f>
        <v>3.75</v>
      </c>
      <c r="F25" s="8" t="str">
        <f aca="false">INDEX($F$8:$F$18,C25)</f>
        <v>Lesser Astral Essence</v>
      </c>
      <c r="G25" s="24" t="n">
        <f aca="false">$B$4*(INDEX($G$8:$G$18,C25)+INDEX($H$8:$H$18,C25))/2</f>
        <v>0.3</v>
      </c>
      <c r="H25" s="8" t="str">
        <f aca="false">INDEX($I$8:$I$18,C25)</f>
        <v>Small Glimmering Shard</v>
      </c>
      <c r="I25" s="24" t="n">
        <f aca="false">IF(H25="–",0,$B$5)</f>
        <v>0.04</v>
      </c>
      <c r="J25" s="7" t="n">
        <f aca="false">IFERROR(E25*INDEX(Preise!$L$3:$L$53,MATCH(D25,Preise!$A$3:$A$53,0)),0)+IFERROR(G25*INDEX(Preise!$L$3:$L$53,MATCH(F25,Preise!$A$3:$A$53,0)),0)+IF(H25="–",0,IFERROR(I25*INDEX(Preise!$L$3:$L$53,MATCH(H25,Preise!$A$3:$A$53,0)),0))</f>
        <v>5.1084</v>
      </c>
      <c r="K25" s="7" t="n">
        <f aca="false">IF(P25="",0,IFERROR(Q25*INDEX(Preise!$L$3:$L$53,MATCH(P25,Preise!$A$3:$A$53,0)),0))+IF(R25="",0,IFERROR(S25*INDEX(Preise!$L$3:$L$53,MATCH(R25,Preise!$A$3:$A$53,0)),0))+IF(T25="",0,IFERROR(U25*INDEX(Preise!$L$3:$L$53,MATCH(T25,Preise!$A$3:$A$53,0)),0))+IF(V25="",0,IFERROR(W25*INDEX(Preise!$L$3:$L$53,MATCH(V25,Preise!$A$3:$A$53,0)),0))+IF(X25="",0,IFERROR(Y25*INDEX(Preise!$L$3:$L$53,MATCH(X25,Preise!$A$3:$A$53,0)),0))+IF(Z25="",0,IFERROR(AA25*INDEX(Preise!$L$3:$L$53,MATCH(Z25,Preise!$A$3:$A$53,0)),0))</f>
        <v>18.08</v>
      </c>
      <c r="L25" s="18" t="n">
        <v>7.03</v>
      </c>
      <c r="M25" s="10" t="n">
        <f aca="false">J25-K25</f>
        <v>-12.9716</v>
      </c>
      <c r="N25" s="10" t="n">
        <f aca="false">L25-K25</f>
        <v>-11.05</v>
      </c>
      <c r="O25" s="25" t="n">
        <v>15</v>
      </c>
      <c r="P25" s="8" t="s">
        <v>46</v>
      </c>
      <c r="Q25" s="25" t="n">
        <v>6</v>
      </c>
      <c r="R25" s="8" t="s">
        <v>50</v>
      </c>
      <c r="S25" s="25" t="n">
        <v>2</v>
      </c>
      <c r="T25" s="8" t="s">
        <v>51</v>
      </c>
      <c r="U25" s="25" t="n">
        <v>1</v>
      </c>
      <c r="V25" s="8" t="s">
        <v>48</v>
      </c>
      <c r="W25" s="25" t="n">
        <v>1</v>
      </c>
      <c r="X25" s="8" t="s">
        <v>53</v>
      </c>
      <c r="Y25" s="25" t="n">
        <v>2</v>
      </c>
      <c r="Z25" s="8" t="s">
        <v>54</v>
      </c>
      <c r="AA25" s="25" t="n">
        <v>1</v>
      </c>
      <c r="AB25" s="9" t="n">
        <f aca="false">IF(P25="",0,IF(IFERROR(INDEX(Preise!$L$3:$L$53,MATCH(P25,Preise!$A$3:$A$53,0)),"")="",1,0))+IF(R25="",0,IF(IFERROR(INDEX(Preise!$L$3:$L$53,MATCH(R25,Preise!$A$3:$A$53,0)),"")="",1,0))+IF(T25="",0,IF(IFERROR(INDEX(Preise!$L$3:$L$53,MATCH(T25,Preise!$A$3:$A$53,0)),"")="",1,0))+IF(V25="",0,IF(IFERROR(INDEX(Preise!$L$3:$L$53,MATCH(V25,Preise!$A$3:$A$53,0)),"")="",1,0))+IF(X25="",0,IF(IFERROR(INDEX(Preise!$L$3:$L$53,MATCH(X25,Preise!$A$3:$A$53,0)),"")="",1,0))+IF(Z25="",0,IF(IFERROR(INDEX(Preise!$L$3:$L$53,MATCH(Z25,Preise!$A$3:$A$53,0)),"")="",1,0))+IF(IFERROR(INDEX(Preise!$L$3:$L$53,MATCH(D25,Preise!$A$3:$A$53,0)),"")="",1,0)+IF(IFERROR(INDEX(Preise!$L$3:$L$53,MATCH(F25,Preise!$A$3:$A$53,0)),"")="",1,0)+IF(H25="–",0,IF(IFERROR(INDEX(Preise!$L$3:$L$53,MATCH(H25,Preise!$A$3:$A$53,0)),"")="",1,0))</f>
        <v>0</v>
      </c>
      <c r="AC25" s="2" t="s">
        <v>369</v>
      </c>
      <c r="AD25" s="21" t="s">
        <v>370</v>
      </c>
    </row>
    <row r="26" customFormat="false" ht="15" hidden="false" customHeight="false" outlineLevel="0" collapsed="false">
      <c r="A26" s="8" t="s">
        <v>371</v>
      </c>
      <c r="B26" s="16" t="n">
        <v>24</v>
      </c>
      <c r="C26" s="22" t="n">
        <f aca="false">MATCH(B26,$A$8:$A$18,1)</f>
        <v>4</v>
      </c>
      <c r="D26" s="8" t="str">
        <f aca="false">INDEX($C$8:$C$18,C26)</f>
        <v>Soul Dust</v>
      </c>
      <c r="E26" s="24" t="n">
        <f aca="false">$B$3*(INDEX($D$8:$D$18,C26)+INDEX($E$8:$E$18,C26))/2</f>
        <v>1.125</v>
      </c>
      <c r="F26" s="8" t="str">
        <f aca="false">INDEX($F$8:$F$18,C26)</f>
        <v>Greater Astral Essence</v>
      </c>
      <c r="G26" s="24" t="n">
        <f aca="false">$B$4*(INDEX($G$8:$G$18,C26)+INDEX($H$8:$H$18,C26))/2</f>
        <v>0.3</v>
      </c>
      <c r="H26" s="8" t="str">
        <f aca="false">INDEX($I$8:$I$18,C26)</f>
        <v>Large Glimmering Shard</v>
      </c>
      <c r="I26" s="24" t="n">
        <f aca="false">IF(H26="–",0,$B$5)</f>
        <v>0.04</v>
      </c>
      <c r="J26" s="7" t="n">
        <f aca="false">IFERROR(E26*INDEX(Preise!$L$3:$L$53,MATCH(D26,Preise!$A$3:$A$53,0)),0)+IFERROR(G26*INDEX(Preise!$L$3:$L$53,MATCH(F26,Preise!$A$3:$A$53,0)),0)+IF(H26="–",0,IFERROR(I26*INDEX(Preise!$L$3:$L$53,MATCH(H26,Preise!$A$3:$A$53,0)),0))</f>
        <v>19.83285</v>
      </c>
      <c r="K26" s="7" t="n">
        <f aca="false">IF(P26="",0,IFERROR(Q26*INDEX(Preise!$L$3:$L$53,MATCH(P26,Preise!$A$3:$A$53,0)),0))+IF(R26="",0,IFERROR(S26*INDEX(Preise!$L$3:$L$53,MATCH(R26,Preise!$A$3:$A$53,0)),0))+IF(T26="",0,IFERROR(U26*INDEX(Preise!$L$3:$L$53,MATCH(T26,Preise!$A$3:$A$53,0)),0))+IF(V26="",0,IFERROR(W26*INDEX(Preise!$L$3:$L$53,MATCH(V26,Preise!$A$3:$A$53,0)),0))+IF(X26="",0,IFERROR(Y26*INDEX(Preise!$L$3:$L$53,MATCH(X26,Preise!$A$3:$A$53,0)),0))+IF(Z26="",0,IFERROR(AA26*INDEX(Preise!$L$3:$L$53,MATCH(Z26,Preise!$A$3:$A$53,0)),0))</f>
        <v>30.74</v>
      </c>
      <c r="L26" s="18" t="n">
        <v>10.49</v>
      </c>
      <c r="M26" s="10" t="n">
        <f aca="false">J26-K26</f>
        <v>-10.90715</v>
      </c>
      <c r="N26" s="10" t="n">
        <f aca="false">L26-K26</f>
        <v>-20.25</v>
      </c>
      <c r="O26" s="25" t="n">
        <v>0</v>
      </c>
      <c r="P26" s="8" t="s">
        <v>52</v>
      </c>
      <c r="Q26" s="25" t="n">
        <v>14</v>
      </c>
      <c r="R26" s="8" t="s">
        <v>53</v>
      </c>
      <c r="S26" s="25" t="n">
        <v>4</v>
      </c>
      <c r="AB26" s="9" t="n">
        <f aca="false">IF(P26="",0,IF(IFERROR(INDEX(Preise!$L$3:$L$53,MATCH(P26,Preise!$A$3:$A$53,0)),"")="",1,0))+IF(R26="",0,IF(IFERROR(INDEX(Preise!$L$3:$L$53,MATCH(R26,Preise!$A$3:$A$53,0)),"")="",1,0))+IF(T26="",0,IF(IFERROR(INDEX(Preise!$L$3:$L$53,MATCH(T26,Preise!$A$3:$A$53,0)),"")="",1,0))+IF(V26="",0,IF(IFERROR(INDEX(Preise!$L$3:$L$53,MATCH(V26,Preise!$A$3:$A$53,0)),"")="",1,0))+IF(X26="",0,IF(IFERROR(INDEX(Preise!$L$3:$L$53,MATCH(X26,Preise!$A$3:$A$53,0)),"")="",1,0))+IF(Z26="",0,IF(IFERROR(INDEX(Preise!$L$3:$L$53,MATCH(Z26,Preise!$A$3:$A$53,0)),"")="",1,0))+IF(IFERROR(INDEX(Preise!$L$3:$L$53,MATCH(D26,Preise!$A$3:$A$53,0)),"")="",1,0)+IF(IFERROR(INDEX(Preise!$L$3:$L$53,MATCH(F26,Preise!$A$3:$A$53,0)),"")="",1,0)+IF(H26="–",0,IF(IFERROR(INDEX(Preise!$L$3:$L$53,MATCH(H26,Preise!$A$3:$A$53,0)),"")="",1,0))</f>
        <v>0</v>
      </c>
      <c r="AC26" s="2" t="s">
        <v>364</v>
      </c>
      <c r="AD26" s="21" t="s">
        <v>372</v>
      </c>
    </row>
    <row r="27" customFormat="false" ht="15" hidden="false" customHeight="false" outlineLevel="0" collapsed="false">
      <c r="A27" s="8" t="s">
        <v>373</v>
      </c>
      <c r="B27" s="16" t="n">
        <v>30</v>
      </c>
      <c r="C27" s="22" t="n">
        <f aca="false">MATCH(B27,$A$8:$A$18,1)</f>
        <v>5</v>
      </c>
      <c r="D27" s="8" t="str">
        <f aca="false">INDEX($C$8:$C$18,C27)</f>
        <v>Soul Dust</v>
      </c>
      <c r="E27" s="24" t="n">
        <f aca="false">$B$3*(INDEX($D$8:$D$18,C27)+INDEX($E$8:$E$18,C27))/2</f>
        <v>2.625</v>
      </c>
      <c r="F27" s="8" t="str">
        <f aca="false">INDEX($F$8:$F$18,C27)</f>
        <v>Lesser Mystic Essence</v>
      </c>
      <c r="G27" s="24" t="n">
        <f aca="false">$B$4*(INDEX($G$8:$G$18,C27)+INDEX($H$8:$H$18,C27))/2</f>
        <v>0.3</v>
      </c>
      <c r="H27" s="8" t="str">
        <f aca="false">INDEX($I$8:$I$18,C27)</f>
        <v>Small Glowing Shard</v>
      </c>
      <c r="I27" s="24" t="n">
        <f aca="false">IF(H27="–",0,$B$5)</f>
        <v>0.04</v>
      </c>
      <c r="J27" s="7" t="n">
        <f aca="false">IFERROR(E27*INDEX(Preise!$L$3:$L$53,MATCH(D27,Preise!$A$3:$A$53,0)),0)+IFERROR(G27*INDEX(Preise!$L$3:$L$53,MATCH(F27,Preise!$A$3:$A$53,0)),0)+IF(H27="–",0,IFERROR(I27*INDEX(Preise!$L$3:$L$53,MATCH(H27,Preise!$A$3:$A$53,0)),0))</f>
        <v>26.75385</v>
      </c>
      <c r="K27" s="7" t="n">
        <f aca="false">IF(P27="",0,IFERROR(Q27*INDEX(Preise!$L$3:$L$53,MATCH(P27,Preise!$A$3:$A$53,0)),0))+IF(R27="",0,IFERROR(S27*INDEX(Preise!$L$3:$L$53,MATCH(R27,Preise!$A$3:$A$53,0)),0))+IF(T27="",0,IFERROR(U27*INDEX(Preise!$L$3:$L$53,MATCH(T27,Preise!$A$3:$A$53,0)),0))+IF(V27="",0,IFERROR(W27*INDEX(Preise!$L$3:$L$53,MATCH(V27,Preise!$A$3:$A$53,0)),0))+IF(X27="",0,IFERROR(Y27*INDEX(Preise!$L$3:$L$53,MATCH(X27,Preise!$A$3:$A$53,0)),0))+IF(Z27="",0,IFERROR(AA27*INDEX(Preise!$L$3:$L$53,MATCH(Z27,Preise!$A$3:$A$53,0)),0))</f>
        <v>134.74</v>
      </c>
      <c r="L27" s="18" t="n">
        <v>26.09</v>
      </c>
      <c r="M27" s="10" t="n">
        <f aca="false">J27-K27</f>
        <v>-107.98615</v>
      </c>
      <c r="N27" s="10" t="n">
        <f aca="false">L27-K27</f>
        <v>-108.65</v>
      </c>
      <c r="O27" s="25" t="n">
        <v>10</v>
      </c>
      <c r="P27" s="8" t="s">
        <v>57</v>
      </c>
      <c r="Q27" s="25" t="n">
        <v>8</v>
      </c>
      <c r="R27" s="8" t="s">
        <v>55</v>
      </c>
      <c r="S27" s="25" t="n">
        <v>1</v>
      </c>
      <c r="T27" s="8" t="s">
        <v>48</v>
      </c>
      <c r="U27" s="25" t="n">
        <v>3</v>
      </c>
      <c r="V27" s="8" t="s">
        <v>53</v>
      </c>
      <c r="W27" s="25" t="n">
        <v>2</v>
      </c>
      <c r="AB27" s="9" t="n">
        <f aca="false">IF(P27="",0,IF(IFERROR(INDEX(Preise!$L$3:$L$53,MATCH(P27,Preise!$A$3:$A$53,0)),"")="",1,0))+IF(R27="",0,IF(IFERROR(INDEX(Preise!$L$3:$L$53,MATCH(R27,Preise!$A$3:$A$53,0)),"")="",1,0))+IF(T27="",0,IF(IFERROR(INDEX(Preise!$L$3:$L$53,MATCH(T27,Preise!$A$3:$A$53,0)),"")="",1,0))+IF(V27="",0,IF(IFERROR(INDEX(Preise!$L$3:$L$53,MATCH(V27,Preise!$A$3:$A$53,0)),"")="",1,0))+IF(X27="",0,IF(IFERROR(INDEX(Preise!$L$3:$L$53,MATCH(X27,Preise!$A$3:$A$53,0)),"")="",1,0))+IF(Z27="",0,IF(IFERROR(INDEX(Preise!$L$3:$L$53,MATCH(Z27,Preise!$A$3:$A$53,0)),"")="",1,0))+IF(IFERROR(INDEX(Preise!$L$3:$L$53,MATCH(D27,Preise!$A$3:$A$53,0)),"")="",1,0)+IF(IFERROR(INDEX(Preise!$L$3:$L$53,MATCH(F27,Preise!$A$3:$A$53,0)),"")="",1,0)+IF(H27="–",0,IF(IFERROR(INDEX(Preise!$L$3:$L$53,MATCH(H27,Preise!$A$3:$A$53,0)),"")="",1,0))</f>
        <v>0</v>
      </c>
      <c r="AC27" s="2" t="s">
        <v>374</v>
      </c>
      <c r="AD27" s="21" t="s">
        <v>375</v>
      </c>
    </row>
    <row r="28" customFormat="false" ht="15" hidden="false" customHeight="false" outlineLevel="0" collapsed="false">
      <c r="A28" s="8" t="s">
        <v>376</v>
      </c>
      <c r="B28" s="16" t="n">
        <v>33</v>
      </c>
      <c r="C28" s="22" t="n">
        <f aca="false">MATCH(B28,$A$8:$A$18,1)</f>
        <v>6</v>
      </c>
      <c r="D28" s="8" t="str">
        <f aca="false">INDEX($C$8:$C$18,C28)</f>
        <v>Vision Dust</v>
      </c>
      <c r="E28" s="24" t="n">
        <f aca="false">$B$3*(INDEX($D$8:$D$18,C28)+INDEX($E$8:$E$18,C28))/2</f>
        <v>1.125</v>
      </c>
      <c r="F28" s="8" t="str">
        <f aca="false">INDEX($F$8:$F$18,C28)</f>
        <v>Greater Mystic Essence</v>
      </c>
      <c r="G28" s="24" t="n">
        <f aca="false">$B$4*(INDEX($G$8:$G$18,C28)+INDEX($H$8:$H$18,C28))/2</f>
        <v>0.3</v>
      </c>
      <c r="H28" s="8" t="str">
        <f aca="false">INDEX($I$8:$I$18,C28)</f>
        <v>Large Glowing Shard</v>
      </c>
      <c r="I28" s="24" t="n">
        <f aca="false">IF(H28="–",0,$B$5)</f>
        <v>0.04</v>
      </c>
      <c r="J28" s="7" t="n">
        <f aca="false">IFERROR(E28*INDEX(Preise!$L$3:$L$53,MATCH(D28,Preise!$A$3:$A$53,0)),0)+IFERROR(G28*INDEX(Preise!$L$3:$L$53,MATCH(F28,Preise!$A$3:$A$53,0)),0)+IF(H28="–",0,IFERROR(I28*INDEX(Preise!$L$3:$L$53,MATCH(H28,Preise!$A$3:$A$53,0)),0))</f>
        <v>63.37375</v>
      </c>
      <c r="K28" s="7" t="n">
        <f aca="false">IF(P28="",0,IFERROR(Q28*INDEX(Preise!$L$3:$L$53,MATCH(P28,Preise!$A$3:$A$53,0)),0))+IF(R28="",0,IFERROR(S28*INDEX(Preise!$L$3:$L$53,MATCH(R28,Preise!$A$3:$A$53,0)),0))+IF(T28="",0,IFERROR(U28*INDEX(Preise!$L$3:$L$53,MATCH(T28,Preise!$A$3:$A$53,0)),0))+IF(V28="",0,IFERROR(W28*INDEX(Preise!$L$3:$L$53,MATCH(V28,Preise!$A$3:$A$53,0)),0))+IF(X28="",0,IFERROR(Y28*INDEX(Preise!$L$3:$L$53,MATCH(X28,Preise!$A$3:$A$53,0)),0))+IF(Z28="",0,IFERROR(AA28*INDEX(Preise!$L$3:$L$53,MATCH(Z28,Preise!$A$3:$A$53,0)),0))</f>
        <v>89.82</v>
      </c>
      <c r="L28" s="18" t="n">
        <v>13.74</v>
      </c>
      <c r="M28" s="10" t="n">
        <f aca="false">J28-K28</f>
        <v>-26.44625</v>
      </c>
      <c r="N28" s="10" t="n">
        <f aca="false">L28-K28</f>
        <v>-76.08</v>
      </c>
      <c r="O28" s="25" t="n">
        <v>10</v>
      </c>
      <c r="P28" s="8" t="s">
        <v>57</v>
      </c>
      <c r="Q28" s="25" t="n">
        <v>4</v>
      </c>
      <c r="R28" s="8" t="s">
        <v>55</v>
      </c>
      <c r="S28" s="25" t="n">
        <v>1</v>
      </c>
      <c r="T28" s="8" t="s">
        <v>48</v>
      </c>
      <c r="U28" s="25" t="n">
        <v>3</v>
      </c>
      <c r="V28" s="8" t="s">
        <v>58</v>
      </c>
      <c r="W28" s="25" t="n">
        <v>1</v>
      </c>
      <c r="AB28" s="9" t="n">
        <f aca="false">IF(P28="",0,IF(IFERROR(INDEX(Preise!$L$3:$L$53,MATCH(P28,Preise!$A$3:$A$53,0)),"")="",1,0))+IF(R28="",0,IF(IFERROR(INDEX(Preise!$L$3:$L$53,MATCH(R28,Preise!$A$3:$A$53,0)),"")="",1,0))+IF(T28="",0,IF(IFERROR(INDEX(Preise!$L$3:$L$53,MATCH(T28,Preise!$A$3:$A$53,0)),"")="",1,0))+IF(V28="",0,IF(IFERROR(INDEX(Preise!$L$3:$L$53,MATCH(V28,Preise!$A$3:$A$53,0)),"")="",1,0))+IF(X28="",0,IF(IFERROR(INDEX(Preise!$L$3:$L$53,MATCH(X28,Preise!$A$3:$A$53,0)),"")="",1,0))+IF(Z28="",0,IF(IFERROR(INDEX(Preise!$L$3:$L$53,MATCH(Z28,Preise!$A$3:$A$53,0)),"")="",1,0))+IF(IFERROR(INDEX(Preise!$L$3:$L$53,MATCH(D28,Preise!$A$3:$A$53,0)),"")="",1,0)+IF(IFERROR(INDEX(Preise!$L$3:$L$53,MATCH(F28,Preise!$A$3:$A$53,0)),"")="",1,0)+IF(H28="–",0,IF(IFERROR(INDEX(Preise!$L$3:$L$53,MATCH(H28,Preise!$A$3:$A$53,0)),"")="",1,0))</f>
        <v>0</v>
      </c>
      <c r="AC28" s="2" t="s">
        <v>374</v>
      </c>
      <c r="AD28" s="21" t="s">
        <v>377</v>
      </c>
    </row>
    <row r="29" customFormat="false" ht="15" hidden="false" customHeight="false" outlineLevel="0" collapsed="false">
      <c r="A29" s="8" t="s">
        <v>378</v>
      </c>
      <c r="B29" s="16" t="n">
        <v>36</v>
      </c>
      <c r="C29" s="22" t="n">
        <f aca="false">MATCH(B29,$A$8:$A$18,1)</f>
        <v>7</v>
      </c>
      <c r="D29" s="8" t="str">
        <f aca="false">INDEX($C$8:$C$18,C29)</f>
        <v>Vision Dust</v>
      </c>
      <c r="E29" s="24" t="n">
        <f aca="false">$B$3*(INDEX($D$8:$D$18,C29)+INDEX($E$8:$E$18,C29))/2</f>
        <v>2.625</v>
      </c>
      <c r="F29" s="8" t="str">
        <f aca="false">INDEX($F$8:$F$18,C29)</f>
        <v>Lesser Nether Essence</v>
      </c>
      <c r="G29" s="24" t="n">
        <f aca="false">$B$4*(INDEX($G$8:$G$18,C29)+INDEX($H$8:$H$18,C29))/2</f>
        <v>0.3</v>
      </c>
      <c r="H29" s="8" t="str">
        <f aca="false">INDEX($I$8:$I$18,C29)</f>
        <v>Small Radiant Shard</v>
      </c>
      <c r="I29" s="24" t="n">
        <f aca="false">IF(H29="–",0,$B$5)</f>
        <v>0.04</v>
      </c>
      <c r="J29" s="7" t="n">
        <f aca="false">IFERROR(E29*INDEX(Preise!$L$3:$L$53,MATCH(D29,Preise!$A$3:$A$53,0)),0)+IFERROR(G29*INDEX(Preise!$L$3:$L$53,MATCH(F29,Preise!$A$3:$A$53,0)),0)+IF(H29="–",0,IFERROR(I29*INDEX(Preise!$L$3:$L$53,MATCH(H29,Preise!$A$3:$A$53,0)),0))</f>
        <v>164.43195</v>
      </c>
      <c r="K29" s="7" t="n">
        <f aca="false">IF(P29="",0,IFERROR(Q29*INDEX(Preise!$L$3:$L$53,MATCH(P29,Preise!$A$3:$A$53,0)),0))+IF(R29="",0,IFERROR(S29*INDEX(Preise!$L$3:$L$53,MATCH(R29,Preise!$A$3:$A$53,0)),0))+IF(T29="",0,IFERROR(U29*INDEX(Preise!$L$3:$L$53,MATCH(T29,Preise!$A$3:$A$53,0)),0))+IF(V29="",0,IFERROR(W29*INDEX(Preise!$L$3:$L$53,MATCH(V29,Preise!$A$3:$A$53,0)),0))+IF(X29="",0,IFERROR(Y29*INDEX(Preise!$L$3:$L$53,MATCH(X29,Preise!$A$3:$A$53,0)),0))+IF(Z29="",0,IFERROR(AA29*INDEX(Preise!$L$3:$L$53,MATCH(Z29,Preise!$A$3:$A$53,0)),0))</f>
        <v>188.95</v>
      </c>
      <c r="L29" s="18" t="n">
        <v>44.95</v>
      </c>
      <c r="M29" s="10" t="n">
        <f aca="false">J29-K29</f>
        <v>-24.51805</v>
      </c>
      <c r="N29" s="10" t="n">
        <f aca="false">L29-K29</f>
        <v>-144</v>
      </c>
      <c r="O29" s="25" t="n">
        <v>11</v>
      </c>
      <c r="P29" s="8" t="s">
        <v>59</v>
      </c>
      <c r="Q29" s="25" t="n">
        <v>5</v>
      </c>
      <c r="R29" s="8" t="s">
        <v>58</v>
      </c>
      <c r="S29" s="25" t="n">
        <v>2</v>
      </c>
      <c r="AB29" s="9" t="n">
        <f aca="false">IF(P29="",0,IF(IFERROR(INDEX(Preise!$L$3:$L$53,MATCH(P29,Preise!$A$3:$A$53,0)),"")="",1,0))+IF(R29="",0,IF(IFERROR(INDEX(Preise!$L$3:$L$53,MATCH(R29,Preise!$A$3:$A$53,0)),"")="",1,0))+IF(T29="",0,IF(IFERROR(INDEX(Preise!$L$3:$L$53,MATCH(T29,Preise!$A$3:$A$53,0)),"")="",1,0))+IF(V29="",0,IF(IFERROR(INDEX(Preise!$L$3:$L$53,MATCH(V29,Preise!$A$3:$A$53,0)),"")="",1,0))+IF(X29="",0,IF(IFERROR(INDEX(Preise!$L$3:$L$53,MATCH(X29,Preise!$A$3:$A$53,0)),"")="",1,0))+IF(Z29="",0,IF(IFERROR(INDEX(Preise!$L$3:$L$53,MATCH(Z29,Preise!$A$3:$A$53,0)),"")="",1,0))+IF(IFERROR(INDEX(Preise!$L$3:$L$53,MATCH(D29,Preise!$A$3:$A$53,0)),"")="",1,0)+IF(IFERROR(INDEX(Preise!$L$3:$L$53,MATCH(F29,Preise!$A$3:$A$53,0)),"")="",1,0)+IF(H29="–",0,IF(IFERROR(INDEX(Preise!$L$3:$L$53,MATCH(H29,Preise!$A$3:$A$53,0)),"")="",1,0))</f>
        <v>0</v>
      </c>
      <c r="AC29" s="2" t="s">
        <v>358</v>
      </c>
      <c r="AD29" s="21" t="s">
        <v>379</v>
      </c>
    </row>
    <row r="30" customFormat="false" ht="15" hidden="false" customHeight="false" outlineLevel="0" collapsed="false">
      <c r="A30" s="8" t="s">
        <v>380</v>
      </c>
      <c r="B30" s="16" t="n">
        <v>41</v>
      </c>
      <c r="C30" s="22" t="n">
        <f aca="false">MATCH(B30,$A$8:$A$18,1)</f>
        <v>8</v>
      </c>
      <c r="D30" s="8" t="str">
        <f aca="false">INDEX($C$8:$C$18,C30)</f>
        <v>Dream Dust</v>
      </c>
      <c r="E30" s="24" t="n">
        <f aca="false">$B$3*(INDEX($D$8:$D$18,C30)+INDEX($E$8:$E$18,C30))/2</f>
        <v>1.125</v>
      </c>
      <c r="F30" s="8" t="str">
        <f aca="false">INDEX($F$8:$F$18,C30)</f>
        <v>Greater Nether Essence</v>
      </c>
      <c r="G30" s="24" t="n">
        <f aca="false">$B$4*(INDEX($G$8:$G$18,C30)+INDEX($H$8:$H$18,C30))/2</f>
        <v>0.3</v>
      </c>
      <c r="H30" s="8" t="str">
        <f aca="false">INDEX($I$8:$I$18,C30)</f>
        <v>Large Radiant Shard</v>
      </c>
      <c r="I30" s="24" t="n">
        <f aca="false">IF(H30="–",0,$B$5)</f>
        <v>0.04</v>
      </c>
      <c r="J30" s="7" t="n">
        <f aca="false">IFERROR(E30*INDEX(Preise!$L$3:$L$53,MATCH(D30,Preise!$A$3:$A$53,0)),0)+IFERROR(G30*INDEX(Preise!$L$3:$L$53,MATCH(F30,Preise!$A$3:$A$53,0)),0)+IF(H30="–",0,IFERROR(I30*INDEX(Preise!$L$3:$L$53,MATCH(H30,Preise!$A$3:$A$53,0)),0))</f>
        <v>351.21</v>
      </c>
      <c r="K30" s="7" t="n">
        <f aca="false">IF(P30="",0,IFERROR(Q30*INDEX(Preise!$L$3:$L$53,MATCH(P30,Preise!$A$3:$A$53,0)),0))+IF(R30="",0,IFERROR(S30*INDEX(Preise!$L$3:$L$53,MATCH(R30,Preise!$A$3:$A$53,0)),0))+IF(T30="",0,IFERROR(U30*INDEX(Preise!$L$3:$L$53,MATCH(T30,Preise!$A$3:$A$53,0)),0))+IF(V30="",0,IFERROR(W30*INDEX(Preise!$L$3:$L$53,MATCH(V30,Preise!$A$3:$A$53,0)),0))+IF(X30="",0,IFERROR(Y30*INDEX(Preise!$L$3:$L$53,MATCH(X30,Preise!$A$3:$A$53,0)),0))+IF(Z30="",0,IFERROR(AA30*INDEX(Preise!$L$3:$L$53,MATCH(Z30,Preise!$A$3:$A$53,0)),0))</f>
        <v>521.06</v>
      </c>
      <c r="L30" s="18" t="n">
        <v>87.08</v>
      </c>
      <c r="M30" s="10" t="n">
        <f aca="false">J30-K30</f>
        <v>-169.85</v>
      </c>
      <c r="N30" s="10" t="n">
        <f aca="false">L30-K30</f>
        <v>-433.98</v>
      </c>
      <c r="O30" s="25" t="n">
        <v>20</v>
      </c>
      <c r="P30" s="8" t="s">
        <v>59</v>
      </c>
      <c r="Q30" s="25" t="n">
        <v>14</v>
      </c>
      <c r="R30" s="8" t="s">
        <v>58</v>
      </c>
      <c r="S30" s="25" t="n">
        <v>4</v>
      </c>
      <c r="AB30" s="9" t="n">
        <f aca="false">IF(P30="",0,IF(IFERROR(INDEX(Preise!$L$3:$L$53,MATCH(P30,Preise!$A$3:$A$53,0)),"")="",1,0))+IF(R30="",0,IF(IFERROR(INDEX(Preise!$L$3:$L$53,MATCH(R30,Preise!$A$3:$A$53,0)),"")="",1,0))+IF(T30="",0,IF(IFERROR(INDEX(Preise!$L$3:$L$53,MATCH(T30,Preise!$A$3:$A$53,0)),"")="",1,0))+IF(V30="",0,IF(IFERROR(INDEX(Preise!$L$3:$L$53,MATCH(V30,Preise!$A$3:$A$53,0)),"")="",1,0))+IF(X30="",0,IF(IFERROR(INDEX(Preise!$L$3:$L$53,MATCH(X30,Preise!$A$3:$A$53,0)),"")="",1,0))+IF(Z30="",0,IF(IFERROR(INDEX(Preise!$L$3:$L$53,MATCH(Z30,Preise!$A$3:$A$53,0)),"")="",1,0))+IF(IFERROR(INDEX(Preise!$L$3:$L$53,MATCH(D30,Preise!$A$3:$A$53,0)),"")="",1,0)+IF(IFERROR(INDEX(Preise!$L$3:$L$53,MATCH(F30,Preise!$A$3:$A$53,0)),"")="",1,0)+IF(H30="–",0,IF(IFERROR(INDEX(Preise!$L$3:$L$53,MATCH(H30,Preise!$A$3:$A$53,0)),"")="",1,0))</f>
        <v>0</v>
      </c>
      <c r="AC30" s="2" t="s">
        <v>358</v>
      </c>
      <c r="AD30" s="21" t="s">
        <v>381</v>
      </c>
    </row>
    <row r="31" customFormat="false" ht="15" hidden="false" customHeight="false" outlineLevel="0" collapsed="false">
      <c r="A31" s="8" t="s">
        <v>382</v>
      </c>
      <c r="B31" s="16" t="n">
        <v>47</v>
      </c>
      <c r="C31" s="22" t="n">
        <f aca="false">MATCH(B31,$A$8:$A$18,1)</f>
        <v>9</v>
      </c>
      <c r="D31" s="8" t="str">
        <f aca="false">INDEX($C$8:$C$18,C31)</f>
        <v>Dream Dust</v>
      </c>
      <c r="E31" s="24" t="n">
        <f aca="false">$B$3*(INDEX($D$8:$D$18,C31)+INDEX($E$8:$E$18,C31))/2</f>
        <v>2.625</v>
      </c>
      <c r="F31" s="8" t="str">
        <f aca="false">INDEX($F$8:$F$18,C31)</f>
        <v>Lesser Eternal Essence</v>
      </c>
      <c r="G31" s="24" t="n">
        <f aca="false">$B$4*(INDEX($G$8:$G$18,C31)+INDEX($H$8:$H$18,C31))/2</f>
        <v>0.3</v>
      </c>
      <c r="H31" s="8" t="str">
        <f aca="false">INDEX($I$8:$I$18,C31)</f>
        <v>Small Brilliant Shard</v>
      </c>
      <c r="I31" s="24" t="n">
        <f aca="false">IF(H31="–",0,$B$5)</f>
        <v>0.04</v>
      </c>
      <c r="J31" s="7" t="n">
        <f aca="false">IFERROR(E31*INDEX(Preise!$L$3:$L$53,MATCH(D31,Preise!$A$3:$A$53,0)),0)+IFERROR(G31*INDEX(Preise!$L$3:$L$53,MATCH(F31,Preise!$A$3:$A$53,0)),0)+IF(H31="–",0,IFERROR(I31*INDEX(Preise!$L$3:$L$53,MATCH(H31,Preise!$A$3:$A$53,0)),0))</f>
        <v>231.77</v>
      </c>
      <c r="K31" s="7" t="n">
        <f aca="false">IF(P31="",0,IFERROR(Q31*INDEX(Preise!$L$3:$L$53,MATCH(P31,Preise!$A$3:$A$53,0)),0))+IF(R31="",0,IFERROR(S31*INDEX(Preise!$L$3:$L$53,MATCH(R31,Preise!$A$3:$A$53,0)),0))+IF(T31="",0,IFERROR(U31*INDEX(Preise!$L$3:$L$53,MATCH(T31,Preise!$A$3:$A$53,0)),0))+IF(V31="",0,IFERROR(W31*INDEX(Preise!$L$3:$L$53,MATCH(V31,Preise!$A$3:$A$53,0)),0))+IF(X31="",0,IFERROR(Y31*INDEX(Preise!$L$3:$L$53,MATCH(X31,Preise!$A$3:$A$53,0)),0))+IF(Z31="",0,IFERROR(AA31*INDEX(Preise!$L$3:$L$53,MATCH(Z31,Preise!$A$3:$A$53,0)),0))</f>
        <v>212.16</v>
      </c>
      <c r="L31" s="18" t="n">
        <v>68.72</v>
      </c>
      <c r="M31" s="10" t="n">
        <f aca="false">J31-K31</f>
        <v>19.61</v>
      </c>
      <c r="N31" s="10" t="n">
        <f aca="false">L31-K31</f>
        <v>-143.44</v>
      </c>
      <c r="O31" s="25" t="n">
        <v>32</v>
      </c>
      <c r="P31" s="8" t="s">
        <v>60</v>
      </c>
      <c r="Q31" s="25" t="n">
        <v>8</v>
      </c>
      <c r="R31" s="8" t="s">
        <v>61</v>
      </c>
      <c r="S31" s="25" t="n">
        <v>1</v>
      </c>
      <c r="T31" s="8" t="s">
        <v>62</v>
      </c>
      <c r="U31" s="25" t="n">
        <v>1</v>
      </c>
      <c r="AB31" s="9" t="n">
        <f aca="false">IF(P31="",0,IF(IFERROR(INDEX(Preise!$L$3:$L$53,MATCH(P31,Preise!$A$3:$A$53,0)),"")="",1,0))+IF(R31="",0,IF(IFERROR(INDEX(Preise!$L$3:$L$53,MATCH(R31,Preise!$A$3:$A$53,0)),"")="",1,0))+IF(T31="",0,IF(IFERROR(INDEX(Preise!$L$3:$L$53,MATCH(T31,Preise!$A$3:$A$53,0)),"")="",1,0))+IF(V31="",0,IF(IFERROR(INDEX(Preise!$L$3:$L$53,MATCH(V31,Preise!$A$3:$A$53,0)),"")="",1,0))+IF(X31="",0,IF(IFERROR(INDEX(Preise!$L$3:$L$53,MATCH(X31,Preise!$A$3:$A$53,0)),"")="",1,0))+IF(Z31="",0,IF(IFERROR(INDEX(Preise!$L$3:$L$53,MATCH(Z31,Preise!$A$3:$A$53,0)),"")="",1,0))+IF(IFERROR(INDEX(Preise!$L$3:$L$53,MATCH(D31,Preise!$A$3:$A$53,0)),"")="",1,0)+IF(IFERROR(INDEX(Preise!$L$3:$L$53,MATCH(F31,Preise!$A$3:$A$53,0)),"")="",1,0)+IF(H31="–",0,IF(IFERROR(INDEX(Preise!$L$3:$L$53,MATCH(H31,Preise!$A$3:$A$53,0)),"")="",1,0))</f>
        <v>0</v>
      </c>
      <c r="AC31" s="2" t="s">
        <v>358</v>
      </c>
      <c r="AD31" s="21" t="s">
        <v>383</v>
      </c>
    </row>
    <row r="32" customFormat="false" ht="15" hidden="false" customHeight="false" outlineLevel="0" collapsed="false">
      <c r="A32" s="8" t="s">
        <v>384</v>
      </c>
      <c r="B32" s="16" t="n">
        <v>51</v>
      </c>
      <c r="C32" s="22" t="n">
        <f aca="false">MATCH(B32,$A$8:$A$18,1)</f>
        <v>10</v>
      </c>
      <c r="D32" s="8" t="str">
        <f aca="false">INDEX($C$8:$C$18,C32)</f>
        <v>Illusion Dust</v>
      </c>
      <c r="E32" s="24" t="n">
        <f aca="false">$B$3*(INDEX($D$8:$D$18,C32)+INDEX($E$8:$E$18,C32))/2</f>
        <v>1.125</v>
      </c>
      <c r="F32" s="8" t="str">
        <f aca="false">INDEX($F$8:$F$18,C32)</f>
        <v>Greater Eternal Essence</v>
      </c>
      <c r="G32" s="24" t="n">
        <f aca="false">$B$4*(INDEX($G$8:$G$18,C32)+INDEX($H$8:$H$18,C32))/2</f>
        <v>0.3</v>
      </c>
      <c r="H32" s="8" t="str">
        <f aca="false">INDEX($I$8:$I$18,C32)</f>
        <v>Large Brilliant Shard</v>
      </c>
      <c r="I32" s="24" t="n">
        <f aca="false">IF(H32="–",0,$B$5)</f>
        <v>0.04</v>
      </c>
      <c r="J32" s="7" t="n">
        <f aca="false">IFERROR(E32*INDEX(Preise!$L$3:$L$53,MATCH(D32,Preise!$A$3:$A$53,0)),0)+IFERROR(G32*INDEX(Preise!$L$3:$L$53,MATCH(F32,Preise!$A$3:$A$53,0)),0)+IF(H32="–",0,IFERROR(I32*INDEX(Preise!$L$3:$L$53,MATCH(H32,Preise!$A$3:$A$53,0)),0))</f>
        <v>1125</v>
      </c>
      <c r="K32" s="7" t="n">
        <f aca="false">IF(P32="",0,IFERROR(Q32*INDEX(Preise!$L$3:$L$53,MATCH(P32,Preise!$A$3:$A$53,0)),0))+IF(R32="",0,IFERROR(S32*INDEX(Preise!$L$3:$L$53,MATCH(R32,Preise!$A$3:$A$53,0)),0))+IF(T32="",0,IFERROR(U32*INDEX(Preise!$L$3:$L$53,MATCH(T32,Preise!$A$3:$A$53,0)),0))+IF(V32="",0,IFERROR(W32*INDEX(Preise!$L$3:$L$53,MATCH(V32,Preise!$A$3:$A$53,0)),0))+IF(X32="",0,IFERROR(Y32*INDEX(Preise!$L$3:$L$53,MATCH(X32,Preise!$A$3:$A$53,0)),0))+IF(Z32="",0,IFERROR(AA32*INDEX(Preise!$L$3:$L$53,MATCH(Z32,Preise!$A$3:$A$53,0)),0))</f>
        <v>288.24</v>
      </c>
      <c r="L32" s="18" t="n">
        <v>131.54</v>
      </c>
      <c r="M32" s="10" t="n">
        <f aca="false">J32-K32</f>
        <v>836.76</v>
      </c>
      <c r="N32" s="10" t="n">
        <f aca="false">L32-K32</f>
        <v>-156.7</v>
      </c>
      <c r="O32" s="25" t="n">
        <v>10</v>
      </c>
      <c r="P32" s="8" t="s">
        <v>60</v>
      </c>
      <c r="Q32" s="25" t="n">
        <v>12</v>
      </c>
      <c r="R32" s="8" t="s">
        <v>61</v>
      </c>
      <c r="S32" s="25" t="n">
        <v>1</v>
      </c>
      <c r="T32" s="8" t="s">
        <v>62</v>
      </c>
      <c r="U32" s="25" t="n">
        <v>1</v>
      </c>
      <c r="AB32" s="9" t="n">
        <f aca="false">IF(P32="",0,IF(IFERROR(INDEX(Preise!$L$3:$L$53,MATCH(P32,Preise!$A$3:$A$53,0)),"")="",1,0))+IF(R32="",0,IF(IFERROR(INDEX(Preise!$L$3:$L$53,MATCH(R32,Preise!$A$3:$A$53,0)),"")="",1,0))+IF(T32="",0,IF(IFERROR(INDEX(Preise!$L$3:$L$53,MATCH(T32,Preise!$A$3:$A$53,0)),"")="",1,0))+IF(V32="",0,IF(IFERROR(INDEX(Preise!$L$3:$L$53,MATCH(V32,Preise!$A$3:$A$53,0)),"")="",1,0))+IF(X32="",0,IF(IFERROR(INDEX(Preise!$L$3:$L$53,MATCH(X32,Preise!$A$3:$A$53,0)),"")="",1,0))+IF(Z32="",0,IF(IFERROR(INDEX(Preise!$L$3:$L$53,MATCH(Z32,Preise!$A$3:$A$53,0)),"")="",1,0))+IF(IFERROR(INDEX(Preise!$L$3:$L$53,MATCH(D32,Preise!$A$3:$A$53,0)),"")="",1,0)+IF(IFERROR(INDEX(Preise!$L$3:$L$53,MATCH(F32,Preise!$A$3:$A$53,0)),"")="",1,0)+IF(H32="–",0,IF(IFERROR(INDEX(Preise!$L$3:$L$53,MATCH(H32,Preise!$A$3:$A$53,0)),"")="",1,0))</f>
        <v>2</v>
      </c>
      <c r="AC32" s="2" t="s">
        <v>358</v>
      </c>
      <c r="AD32" s="21" t="s">
        <v>385</v>
      </c>
    </row>
    <row r="33" customFormat="false" ht="15" hidden="false" customHeight="false" outlineLevel="0" collapsed="false">
      <c r="A33" s="2" t="s">
        <v>386</v>
      </c>
    </row>
    <row r="35" customFormat="false" ht="35.05" hidden="false" customHeight="false" outlineLevel="0" collapsed="false">
      <c r="A35" s="6" t="s">
        <v>387</v>
      </c>
      <c r="B35" s="6" t="s">
        <v>388</v>
      </c>
      <c r="C35" s="6" t="s">
        <v>389</v>
      </c>
      <c r="D35" s="6" t="s">
        <v>390</v>
      </c>
      <c r="E35" s="6" t="s">
        <v>391</v>
      </c>
      <c r="F35" s="6" t="s">
        <v>392</v>
      </c>
      <c r="G35" s="6" t="s">
        <v>41</v>
      </c>
      <c r="H35" s="6" t="s">
        <v>393</v>
      </c>
      <c r="I35" s="6" t="s">
        <v>394</v>
      </c>
      <c r="J35" s="6" t="s">
        <v>395</v>
      </c>
    </row>
    <row r="36" customFormat="false" ht="15" hidden="false" customHeight="false" outlineLevel="0" collapsed="false">
      <c r="A36" s="8" t="s">
        <v>65</v>
      </c>
      <c r="B36" s="26" t="n">
        <f aca="false">SUMIFS(Bedarf!$F$3:$F$85,Bedarf!$A$3:$A$85,"VZ",Bedarf!$E$3:$E$85,A36)</f>
        <v>145</v>
      </c>
      <c r="C36" s="24" t="n">
        <f aca="false">SUMPRODUCT(($D$21:$D$32=A36)*$E$21:$E$32*$O$21:$O$32)+SUMPRODUCT(($F$21:$F$32=A36)*$G$21:$G$32*$O$21:$O$32)+SUMPRODUCT(($H$21:$H$32=A36)*$I$21:$I$32*$O$21:$O$32)</f>
        <v>131.25</v>
      </c>
      <c r="D36" s="27" t="n">
        <f aca="false">IF(B36=0,"–",MIN(1,C36/B36))</f>
        <v>0.905172413793103</v>
      </c>
      <c r="E36" s="24" t="n">
        <f aca="false">MAX(0,B36-C36)</f>
        <v>13.75</v>
      </c>
      <c r="F36" s="24" t="n">
        <f aca="false">MAX(0,C36-B36)</f>
        <v>0</v>
      </c>
      <c r="G36" s="7" t="n">
        <f aca="false">IFERROR(INDEX(Preise!$L$3:$L$53,MATCH(A36,Preise!$A$3:$A$53,0)),"")</f>
        <v>0.84</v>
      </c>
      <c r="H36" s="10" t="n">
        <f aca="false">IF(G36="","",MIN(B36,C36)*G36/100)</f>
        <v>1.1025</v>
      </c>
      <c r="I36" s="10" t="n">
        <f aca="false">IF(G36="","",E36*G36/100)</f>
        <v>0.1155</v>
      </c>
      <c r="J36" s="10" t="n">
        <f aca="false">IF(G36="","",F36*G36/100)</f>
        <v>0</v>
      </c>
    </row>
    <row r="37" customFormat="false" ht="15" hidden="false" customHeight="false" outlineLevel="0" collapsed="false">
      <c r="A37" s="8" t="s">
        <v>66</v>
      </c>
      <c r="B37" s="26" t="n">
        <f aca="false">SUMIFS(Bedarf!$F$3:$F$85,Bedarf!$A$3:$A$85,"VZ",Bedarf!$E$3:$E$85,A37)</f>
        <v>1</v>
      </c>
      <c r="C37" s="24" t="n">
        <f aca="false">SUMPRODUCT(($D$21:$D$32=A37)*$E$21:$E$32*$O$21:$O$32)+SUMPRODUCT(($F$21:$F$32=A37)*$G$21:$G$32*$O$21:$O$32)+SUMPRODUCT(($H$21:$H$32=A37)*$I$21:$I$32*$O$21:$O$32)</f>
        <v>9</v>
      </c>
      <c r="D37" s="27" t="n">
        <f aca="false">IF(B37=0,"–",MIN(1,C37/B37))</f>
        <v>1</v>
      </c>
      <c r="E37" s="24" t="n">
        <f aca="false">MAX(0,B37-C37)</f>
        <v>0</v>
      </c>
      <c r="F37" s="24" t="n">
        <f aca="false">MAX(0,C37-B37)</f>
        <v>8</v>
      </c>
      <c r="G37" s="7" t="n">
        <f aca="false">IFERROR(INDEX(Preise!$L$3:$L$53,MATCH(A37,Preise!$A$3:$A$53,0)),"")</f>
        <v>0.69</v>
      </c>
      <c r="H37" s="10" t="n">
        <f aca="false">IF(G37="","",MIN(B37,C37)*G37/100)</f>
        <v>0.0069</v>
      </c>
      <c r="I37" s="10" t="n">
        <f aca="false">IF(G37="","",E37*G37/100)</f>
        <v>0</v>
      </c>
      <c r="J37" s="10" t="n">
        <f aca="false">IF(G37="","",F37*G37/100)</f>
        <v>0.0552</v>
      </c>
    </row>
    <row r="38" customFormat="false" ht="15" hidden="false" customHeight="false" outlineLevel="0" collapsed="false">
      <c r="A38" s="8" t="s">
        <v>68</v>
      </c>
      <c r="B38" s="26" t="n">
        <f aca="false">SUMIFS(Bedarf!$F$3:$F$85,Bedarf!$A$3:$A$85,"VZ",Bedarf!$E$3:$E$85,A38)</f>
        <v>12</v>
      </c>
      <c r="C38" s="24" t="n">
        <f aca="false">SUMPRODUCT(($D$21:$D$32=A38)*$E$21:$E$32*$O$21:$O$32)+SUMPRODUCT(($F$21:$F$32=A38)*$G$21:$G$32*$O$21:$O$32)+SUMPRODUCT(($H$21:$H$32=A38)*$I$21:$I$32*$O$21:$O$32)</f>
        <v>6.6</v>
      </c>
      <c r="D38" s="27" t="n">
        <f aca="false">IF(B38=0,"–",MIN(1,C38/B38))</f>
        <v>0.55</v>
      </c>
      <c r="E38" s="24" t="n">
        <f aca="false">MAX(0,B38-C38)</f>
        <v>5.4</v>
      </c>
      <c r="F38" s="24" t="n">
        <f aca="false">MAX(0,C38-B38)</f>
        <v>0</v>
      </c>
      <c r="G38" s="7" t="n">
        <f aca="false">IFERROR(INDEX(Preise!$L$3:$L$53,MATCH(A38,Preise!$A$3:$A$53,0)),"")</f>
        <v>1.96</v>
      </c>
      <c r="H38" s="10" t="n">
        <f aca="false">IF(G38="","",MIN(B38,C38)*G38/100)</f>
        <v>0.12936</v>
      </c>
      <c r="I38" s="10" t="n">
        <f aca="false">IF(G38="","",E38*G38/100)</f>
        <v>0.10584</v>
      </c>
      <c r="J38" s="10" t="n">
        <f aca="false">IF(G38="","",F38*G38/100)</f>
        <v>0</v>
      </c>
    </row>
    <row r="39" customFormat="false" ht="15" hidden="false" customHeight="false" outlineLevel="0" collapsed="false">
      <c r="A39" s="8" t="s">
        <v>72</v>
      </c>
      <c r="B39" s="26" t="n">
        <f aca="false">SUMIFS(Bedarf!$F$3:$F$85,Bedarf!$A$3:$A$85,"VZ",Bedarf!$E$3:$E$85,A39)</f>
        <v>25</v>
      </c>
      <c r="C39" s="24" t="n">
        <f aca="false">SUMPRODUCT(($D$21:$D$32=A39)*$E$21:$E$32*$O$21:$O$32)+SUMPRODUCT(($F$21:$F$32=A39)*$G$21:$G$32*$O$21:$O$32)+SUMPRODUCT(($H$21:$H$32=A39)*$I$21:$I$32*$O$21:$O$32)</f>
        <v>4.5</v>
      </c>
      <c r="D39" s="27" t="n">
        <f aca="false">IF(B39=0,"–",MIN(1,C39/B39))</f>
        <v>0.18</v>
      </c>
      <c r="E39" s="24" t="n">
        <f aca="false">MAX(0,B39-C39)</f>
        <v>20.5</v>
      </c>
      <c r="F39" s="24" t="n">
        <f aca="false">MAX(0,C39-B39)</f>
        <v>0</v>
      </c>
      <c r="G39" s="7" t="n">
        <f aca="false">IFERROR(INDEX(Preise!$L$3:$L$53,MATCH(A39,Preise!$A$3:$A$53,0)),"")</f>
        <v>6.04</v>
      </c>
      <c r="H39" s="10" t="n">
        <f aca="false">IF(G39="","",MIN(B39,C39)*G39/100)</f>
        <v>0.2718</v>
      </c>
      <c r="I39" s="10" t="n">
        <f aca="false">IF(G39="","",E39*G39/100)</f>
        <v>1.2382</v>
      </c>
      <c r="J39" s="10" t="n">
        <f aca="false">IF(G39="","",F39*G39/100)</f>
        <v>0</v>
      </c>
    </row>
    <row r="40" customFormat="false" ht="15" hidden="false" customHeight="false" outlineLevel="0" collapsed="false">
      <c r="A40" s="8" t="s">
        <v>153</v>
      </c>
      <c r="B40" s="26" t="n">
        <f aca="false">SUMIFS(Bedarf!$F$3:$F$85,Bedarf!$A$3:$A$85,"VZ",Bedarf!$E$3:$E$85,A40)</f>
        <v>0</v>
      </c>
      <c r="C40" s="24" t="n">
        <f aca="false">SUMPRODUCT(($D$21:$D$32=A40)*$E$21:$E$32*$O$21:$O$32)+SUMPRODUCT(($F$21:$F$32=A40)*$G$21:$G$32*$O$21:$O$32)+SUMPRODUCT(($H$21:$H$32=A40)*$I$21:$I$32*$O$21:$O$32)</f>
        <v>1.48</v>
      </c>
      <c r="D40" s="27" t="str">
        <f aca="false">IF(B40=0,"–",MIN(1,C40/B40))</f>
        <v>–</v>
      </c>
      <c r="E40" s="24" t="n">
        <f aca="false">MAX(0,B40-C40)</f>
        <v>0</v>
      </c>
      <c r="F40" s="24" t="n">
        <f aca="false">MAX(0,C40-B40)</f>
        <v>1.48</v>
      </c>
      <c r="G40" s="7" t="n">
        <f aca="false">IFERROR(INDEX(Preise!$L$3:$L$53,MATCH(A40,Preise!$A$3:$A$53,0)),"")</f>
        <v>3.66</v>
      </c>
      <c r="H40" s="10" t="n">
        <f aca="false">IF(G40="","",MIN(B40,C40)*G40/100)</f>
        <v>0</v>
      </c>
      <c r="I40" s="10" t="n">
        <f aca="false">IF(G40="","",E40*G40/100)</f>
        <v>0</v>
      </c>
      <c r="J40" s="10" t="n">
        <f aca="false">IF(G40="","",F40*G40/100)</f>
        <v>0.054168</v>
      </c>
    </row>
    <row r="41" customFormat="false" ht="15" hidden="false" customHeight="false" outlineLevel="0" collapsed="false">
      <c r="A41" s="8" t="s">
        <v>73</v>
      </c>
      <c r="B41" s="26" t="n">
        <f aca="false">SUMIFS(Bedarf!$F$3:$F$85,Bedarf!$A$3:$A$85,"VZ",Bedarf!$E$3:$E$85,A41)</f>
        <v>122</v>
      </c>
      <c r="C41" s="24" t="n">
        <f aca="false">SUMPRODUCT(($D$21:$D$32=A41)*$E$21:$E$32*$O$21:$O$32)+SUMPRODUCT(($F$21:$F$32=A41)*$G$21:$G$32*$O$21:$O$32)+SUMPRODUCT(($H$21:$H$32=A41)*$I$21:$I$32*$O$21:$O$32)</f>
        <v>26.25</v>
      </c>
      <c r="D41" s="27" t="n">
        <f aca="false">IF(B41=0,"–",MIN(1,C41/B41))</f>
        <v>0.21516393442623</v>
      </c>
      <c r="E41" s="24" t="n">
        <f aca="false">MAX(0,B41-C41)</f>
        <v>95.75</v>
      </c>
      <c r="F41" s="24" t="n">
        <f aca="false">MAX(0,C41-B41)</f>
        <v>0</v>
      </c>
      <c r="G41" s="7" t="n">
        <f aca="false">IFERROR(INDEX(Preise!$L$3:$L$53,MATCH(A41,Preise!$A$3:$A$53,0)),"")</f>
        <v>7.21</v>
      </c>
      <c r="H41" s="10" t="n">
        <f aca="false">IF(G41="","",MIN(B41,C41)*G41/100)</f>
        <v>1.892625</v>
      </c>
      <c r="I41" s="10" t="n">
        <f aca="false">IF(G41="","",E41*G41/100)</f>
        <v>6.903575</v>
      </c>
      <c r="J41" s="10" t="n">
        <f aca="false">IF(G41="","",F41*G41/100)</f>
        <v>0</v>
      </c>
    </row>
    <row r="42" customFormat="false" ht="15" hidden="false" customHeight="false" outlineLevel="0" collapsed="false">
      <c r="A42" s="8" t="s">
        <v>76</v>
      </c>
      <c r="B42" s="26" t="n">
        <f aca="false">SUMIFS(Bedarf!$F$3:$F$85,Bedarf!$A$3:$A$85,"VZ",Bedarf!$E$3:$E$85,A42)</f>
        <v>2</v>
      </c>
      <c r="C42" s="24" t="n">
        <f aca="false">SUMPRODUCT(($D$21:$D$32=A42)*$E$21:$E$32*$O$21:$O$32)+SUMPRODUCT(($F$21:$F$32=A42)*$G$21:$G$32*$O$21:$O$32)+SUMPRODUCT(($H$21:$H$32=A42)*$I$21:$I$32*$O$21:$O$32)</f>
        <v>0</v>
      </c>
      <c r="D42" s="27" t="n">
        <f aca="false">IF(B42=0,"–",MIN(1,C42/B42))</f>
        <v>0</v>
      </c>
      <c r="E42" s="24" t="n">
        <f aca="false">MAX(0,B42-C42)</f>
        <v>2</v>
      </c>
      <c r="F42" s="24" t="n">
        <f aca="false">MAX(0,C42-B42)</f>
        <v>0</v>
      </c>
      <c r="G42" s="7" t="n">
        <f aca="false">IFERROR(INDEX(Preise!$L$3:$L$53,MATCH(A42,Preise!$A$3:$A$53,0)),"")</f>
        <v>28.54</v>
      </c>
      <c r="H42" s="10" t="n">
        <f aca="false">IF(G42="","",MIN(B42,C42)*G42/100)</f>
        <v>0</v>
      </c>
      <c r="I42" s="10" t="n">
        <f aca="false">IF(G42="","",E42*G42/100)</f>
        <v>0.5708</v>
      </c>
      <c r="J42" s="10" t="n">
        <f aca="false">IF(G42="","",F42*G42/100)</f>
        <v>0</v>
      </c>
    </row>
    <row r="43" customFormat="false" ht="15" hidden="false" customHeight="false" outlineLevel="0" collapsed="false">
      <c r="A43" s="8" t="s">
        <v>155</v>
      </c>
      <c r="B43" s="26" t="n">
        <f aca="false">SUMIFS(Bedarf!$F$3:$F$85,Bedarf!$A$3:$A$85,"VZ",Bedarf!$E$3:$E$85,A43)</f>
        <v>0</v>
      </c>
      <c r="C43" s="24" t="n">
        <f aca="false">SUMPRODUCT(($D$21:$D$32=A43)*$E$21:$E$32*$O$21:$O$32)+SUMPRODUCT(($F$21:$F$32=A43)*$G$21:$G$32*$O$21:$O$32)+SUMPRODUCT(($H$21:$H$32=A43)*$I$21:$I$32*$O$21:$O$32)</f>
        <v>0</v>
      </c>
      <c r="D43" s="27" t="str">
        <f aca="false">IF(B43=0,"–",MIN(1,C43/B43))</f>
        <v>–</v>
      </c>
      <c r="E43" s="24" t="n">
        <f aca="false">MAX(0,B43-C43)</f>
        <v>0</v>
      </c>
      <c r="F43" s="24" t="n">
        <f aca="false">MAX(0,C43-B43)</f>
        <v>0</v>
      </c>
      <c r="G43" s="7" t="n">
        <f aca="false">IFERROR(INDEX(Preise!$L$3:$L$53,MATCH(A43,Preise!$A$3:$A$53,0)),"")</f>
        <v>78.99</v>
      </c>
      <c r="H43" s="10" t="n">
        <f aca="false">IF(G43="","",MIN(B43,C43)*G43/100)</f>
        <v>0</v>
      </c>
      <c r="I43" s="10" t="n">
        <f aca="false">IF(G43="","",E43*G43/100)</f>
        <v>0</v>
      </c>
      <c r="J43" s="10" t="n">
        <f aca="false">IF(G43="","",F43*G43/100)</f>
        <v>0</v>
      </c>
    </row>
    <row r="44" customFormat="false" ht="15" hidden="false" customHeight="false" outlineLevel="0" collapsed="false">
      <c r="A44" s="8" t="s">
        <v>143</v>
      </c>
      <c r="B44" s="26" t="n">
        <f aca="false">SUMIFS(Bedarf!$F$3:$F$85,Bedarf!$A$3:$A$85,"VZ",Bedarf!$E$3:$E$85,A44)</f>
        <v>0</v>
      </c>
      <c r="C44" s="24" t="n">
        <f aca="false">SUMPRODUCT(($D$21:$D$32=A44)*$E$21:$E$32*$O$21:$O$32)+SUMPRODUCT(($F$21:$F$32=A44)*$G$21:$G$32*$O$21:$O$32)+SUMPRODUCT(($H$21:$H$32=A44)*$I$21:$I$32*$O$21:$O$32)</f>
        <v>3</v>
      </c>
      <c r="D44" s="27" t="str">
        <f aca="false">IF(B44=0,"–",MIN(1,C44/B44))</f>
        <v>–</v>
      </c>
      <c r="E44" s="24" t="n">
        <f aca="false">MAX(0,B44-C44)</f>
        <v>0</v>
      </c>
      <c r="F44" s="24" t="n">
        <f aca="false">MAX(0,C44-B44)</f>
        <v>3</v>
      </c>
      <c r="G44" s="7" t="n">
        <f aca="false">IFERROR(INDEX(Preise!$L$3:$L$53,MATCH(A44,Preise!$A$3:$A$53,0)),"")</f>
        <v>15.96</v>
      </c>
      <c r="H44" s="10" t="n">
        <f aca="false">IF(G44="","",MIN(B44,C44)*G44/100)</f>
        <v>0</v>
      </c>
      <c r="I44" s="10" t="n">
        <f aca="false">IF(G44="","",E44*G44/100)</f>
        <v>0</v>
      </c>
      <c r="J44" s="10" t="n">
        <f aca="false">IF(G44="","",F44*G44/100)</f>
        <v>0.4788</v>
      </c>
    </row>
    <row r="45" customFormat="false" ht="15" hidden="false" customHeight="false" outlineLevel="0" collapsed="false">
      <c r="A45" s="8" t="s">
        <v>157</v>
      </c>
      <c r="B45" s="26" t="n">
        <f aca="false">SUMIFS(Bedarf!$F$3:$F$85,Bedarf!$A$3:$A$85,"VZ",Bedarf!$E$3:$E$85,A45)</f>
        <v>0</v>
      </c>
      <c r="C45" s="24" t="n">
        <f aca="false">SUMPRODUCT(($D$21:$D$32=A45)*$E$21:$E$32*$O$21:$O$32)+SUMPRODUCT(($F$21:$F$32=A45)*$G$21:$G$32*$O$21:$O$32)+SUMPRODUCT(($H$21:$H$32=A45)*$I$21:$I$32*$O$21:$O$32)</f>
        <v>0.4</v>
      </c>
      <c r="D45" s="27" t="str">
        <f aca="false">IF(B45=0,"–",MIN(1,C45/B45))</f>
        <v>–</v>
      </c>
      <c r="E45" s="24" t="n">
        <f aca="false">MAX(0,B45-C45)</f>
        <v>0</v>
      </c>
      <c r="F45" s="24" t="n">
        <f aca="false">MAX(0,C45-B45)</f>
        <v>0.4</v>
      </c>
      <c r="G45" s="7" t="n">
        <f aca="false">IFERROR(INDEX(Preise!$L$3:$L$53,MATCH(A45,Preise!$A$3:$A$53,0)),"")</f>
        <v>75.99</v>
      </c>
      <c r="H45" s="10" t="n">
        <f aca="false">IF(G45="","",MIN(B45,C45)*G45/100)</f>
        <v>0</v>
      </c>
      <c r="I45" s="10" t="n">
        <f aca="false">IF(G45="","",E45*G45/100)</f>
        <v>0</v>
      </c>
      <c r="J45" s="10" t="n">
        <f aca="false">IF(G45="","",F45*G45/100)</f>
        <v>0.30396</v>
      </c>
    </row>
    <row r="46" customFormat="false" ht="15" hidden="false" customHeight="false" outlineLevel="0" collapsed="false">
      <c r="A46" s="8" t="s">
        <v>77</v>
      </c>
      <c r="B46" s="26" t="n">
        <f aca="false">SUMIFS(Bedarf!$F$3:$F$85,Bedarf!$A$3:$A$85,"VZ",Bedarf!$E$3:$E$85,A46)</f>
        <v>237</v>
      </c>
      <c r="C46" s="24" t="n">
        <f aca="false">SUMPRODUCT(($D$21:$D$32=A46)*$E$21:$E$32*$O$21:$O$32)+SUMPRODUCT(($F$21:$F$32=A46)*$G$21:$G$32*$O$21:$O$32)+SUMPRODUCT(($H$21:$H$32=A46)*$I$21:$I$32*$O$21:$O$32)</f>
        <v>40.125</v>
      </c>
      <c r="D46" s="27" t="n">
        <f aca="false">IF(B46=0,"–",MIN(1,C46/B46))</f>
        <v>0.169303797468354</v>
      </c>
      <c r="E46" s="24" t="n">
        <f aca="false">MAX(0,B46-C46)</f>
        <v>196.875</v>
      </c>
      <c r="F46" s="24" t="n">
        <f aca="false">MAX(0,C46-B46)</f>
        <v>0</v>
      </c>
      <c r="G46" s="7" t="n">
        <f aca="false">IFERROR(INDEX(Preise!$L$3:$L$53,MATCH(A46,Preise!$A$3:$A$53,0)),"")</f>
        <v>19.71</v>
      </c>
      <c r="H46" s="10" t="n">
        <f aca="false">IF(G46="","",MIN(B46,C46)*G46/100)</f>
        <v>7.9086375</v>
      </c>
      <c r="I46" s="10" t="n">
        <f aca="false">IF(G46="","",E46*G46/100)</f>
        <v>38.8040625</v>
      </c>
      <c r="J46" s="10" t="n">
        <f aca="false">IF(G46="","",F46*G46/100)</f>
        <v>0</v>
      </c>
    </row>
    <row r="47" customFormat="false" ht="15" hidden="false" customHeight="false" outlineLevel="0" collapsed="false">
      <c r="A47" s="8" t="s">
        <v>80</v>
      </c>
      <c r="B47" s="26" t="n">
        <f aca="false">SUMIFS(Bedarf!$F$3:$F$85,Bedarf!$A$3:$A$85,"VZ",Bedarf!$E$3:$E$85,A47)</f>
        <v>2</v>
      </c>
      <c r="C47" s="24" t="n">
        <f aca="false">SUMPRODUCT(($D$21:$D$32=A47)*$E$21:$E$32*$O$21:$O$32)+SUMPRODUCT(($F$21:$F$32=A47)*$G$21:$G$32*$O$21:$O$32)+SUMPRODUCT(($H$21:$H$32=A47)*$I$21:$I$32*$O$21:$O$32)</f>
        <v>3</v>
      </c>
      <c r="D47" s="27" t="n">
        <f aca="false">IF(B47=0,"–",MIN(1,C47/B47))</f>
        <v>1</v>
      </c>
      <c r="E47" s="24" t="n">
        <f aca="false">MAX(0,B47-C47)</f>
        <v>0</v>
      </c>
      <c r="F47" s="24" t="n">
        <f aca="false">MAX(0,C47-B47)</f>
        <v>1</v>
      </c>
      <c r="G47" s="7" t="n">
        <f aca="false">IFERROR(INDEX(Preise!$L$3:$L$53,MATCH(A47,Preise!$A$3:$A$53,0)),"")</f>
        <v>44</v>
      </c>
      <c r="H47" s="10" t="n">
        <f aca="false">IF(G47="","",MIN(B47,C47)*G47/100)</f>
        <v>0.88</v>
      </c>
      <c r="I47" s="10" t="n">
        <f aca="false">IF(G47="","",E47*G47/100)</f>
        <v>0</v>
      </c>
      <c r="J47" s="10" t="n">
        <f aca="false">IF(G47="","",F47*G47/100)</f>
        <v>0.44</v>
      </c>
    </row>
    <row r="48" customFormat="false" ht="15" hidden="false" customHeight="false" outlineLevel="0" collapsed="false">
      <c r="A48" s="8" t="s">
        <v>159</v>
      </c>
      <c r="B48" s="26" t="n">
        <f aca="false">SUMIFS(Bedarf!$F$3:$F$85,Bedarf!$A$3:$A$85,"VZ",Bedarf!$E$3:$E$85,A48)</f>
        <v>0</v>
      </c>
      <c r="C48" s="24" t="n">
        <f aca="false">SUMPRODUCT(($D$21:$D$32=A48)*$E$21:$E$32*$O$21:$O$32)+SUMPRODUCT(($F$21:$F$32=A48)*$G$21:$G$32*$O$21:$O$32)+SUMPRODUCT(($H$21:$H$32=A48)*$I$21:$I$32*$O$21:$O$32)</f>
        <v>0.4</v>
      </c>
      <c r="D48" s="27" t="str">
        <f aca="false">IF(B48=0,"–",MIN(1,C48/B48))</f>
        <v>–</v>
      </c>
      <c r="E48" s="24" t="n">
        <f aca="false">MAX(0,B48-C48)</f>
        <v>0</v>
      </c>
      <c r="F48" s="24" t="n">
        <f aca="false">MAX(0,C48-B48)</f>
        <v>0.4</v>
      </c>
      <c r="G48" s="7" t="n">
        <f aca="false">IFERROR(INDEX(Preise!$L$3:$L$53,MATCH(A48,Preise!$A$3:$A$53,0)),"")</f>
        <v>700</v>
      </c>
      <c r="H48" s="10" t="n">
        <f aca="false">IF(G48="","",MIN(B48,C48)*G48/100)</f>
        <v>0</v>
      </c>
      <c r="I48" s="10" t="n">
        <f aca="false">IF(G48="","",E48*G48/100)</f>
        <v>0</v>
      </c>
      <c r="J48" s="10" t="n">
        <f aca="false">IF(G48="","",F48*G48/100)</f>
        <v>2.8</v>
      </c>
    </row>
    <row r="49" customFormat="false" ht="15" hidden="false" customHeight="false" outlineLevel="0" collapsed="false">
      <c r="A49" s="8" t="s">
        <v>81</v>
      </c>
      <c r="B49" s="26" t="n">
        <f aca="false">SUMIFS(Bedarf!$F$3:$F$85,Bedarf!$A$3:$A$85,"VZ",Bedarf!$E$3:$E$85,A49)</f>
        <v>5</v>
      </c>
      <c r="C49" s="24" t="n">
        <f aca="false">SUMPRODUCT(($D$21:$D$32=A49)*$E$21:$E$32*$O$21:$O$32)+SUMPRODUCT(($F$21:$F$32=A49)*$G$21:$G$32*$O$21:$O$32)+SUMPRODUCT(($H$21:$H$32=A49)*$I$21:$I$32*$O$21:$O$32)</f>
        <v>3.3</v>
      </c>
      <c r="D49" s="27" t="n">
        <f aca="false">IF(B49=0,"–",MIN(1,C49/B49))</f>
        <v>0.66</v>
      </c>
      <c r="E49" s="24" t="n">
        <f aca="false">MAX(0,B49-C49)</f>
        <v>1.7</v>
      </c>
      <c r="F49" s="24" t="n">
        <f aca="false">MAX(0,C49-B49)</f>
        <v>0</v>
      </c>
      <c r="G49" s="7" t="n">
        <f aca="false">IFERROR(INDEX(Preise!$L$3:$L$53,MATCH(A49,Preise!$A$3:$A$53,0)),"")</f>
        <v>268.98</v>
      </c>
      <c r="H49" s="10" t="n">
        <f aca="false">IF(G49="","",MIN(B49,C49)*G49/100)</f>
        <v>8.87634</v>
      </c>
      <c r="I49" s="10" t="n">
        <f aca="false">IF(G49="","",E49*G49/100)</f>
        <v>4.57266</v>
      </c>
      <c r="J49" s="10" t="n">
        <f aca="false">IF(G49="","",F49*G49/100)</f>
        <v>0</v>
      </c>
    </row>
    <row r="50" customFormat="false" ht="15" hidden="false" customHeight="false" outlineLevel="0" collapsed="false">
      <c r="A50" s="8" t="s">
        <v>161</v>
      </c>
      <c r="B50" s="26" t="n">
        <f aca="false">SUMIFS(Bedarf!$F$3:$F$85,Bedarf!$A$3:$A$85,"VZ",Bedarf!$E$3:$E$85,A50)</f>
        <v>0</v>
      </c>
      <c r="C50" s="24" t="n">
        <f aca="false">SUMPRODUCT(($D$21:$D$32=A50)*$E$21:$E$32*$O$21:$O$32)+SUMPRODUCT(($F$21:$F$32=A50)*$G$21:$G$32*$O$21:$O$32)+SUMPRODUCT(($H$21:$H$32=A50)*$I$21:$I$32*$O$21:$O$32)</f>
        <v>0.44</v>
      </c>
      <c r="D50" s="27" t="str">
        <f aca="false">IF(B50=0,"–",MIN(1,C50/B50))</f>
        <v>–</v>
      </c>
      <c r="E50" s="24" t="n">
        <f aca="false">MAX(0,B50-C50)</f>
        <v>0</v>
      </c>
      <c r="F50" s="24" t="n">
        <f aca="false">MAX(0,C50-B50)</f>
        <v>0.44</v>
      </c>
      <c r="G50" s="7" t="n">
        <f aca="false">IFERROR(INDEX(Preise!$L$3:$L$53,MATCH(A50,Preise!$A$3:$A$53,0)),"")</f>
        <v>799.98</v>
      </c>
      <c r="H50" s="10" t="n">
        <f aca="false">IF(G50="","",MIN(B50,C50)*G50/100)</f>
        <v>0</v>
      </c>
      <c r="I50" s="10" t="n">
        <f aca="false">IF(G50="","",E50*G50/100)</f>
        <v>0</v>
      </c>
      <c r="J50" s="10" t="n">
        <f aca="false">IF(G50="","",F50*G50/100)</f>
        <v>3.519912</v>
      </c>
    </row>
    <row r="51" customFormat="false" ht="15" hidden="false" customHeight="false" outlineLevel="0" collapsed="false">
      <c r="A51" s="8" t="s">
        <v>82</v>
      </c>
      <c r="B51" s="26" t="n">
        <f aca="false">SUMIFS(Bedarf!$F$3:$F$85,Bedarf!$A$3:$A$85,"VZ",Bedarf!$E$3:$E$85,A51)</f>
        <v>360</v>
      </c>
      <c r="C51" s="24" t="n">
        <f aca="false">SUMPRODUCT(($D$21:$D$32=A51)*$E$21:$E$32*$O$21:$O$32)+SUMPRODUCT(($F$21:$F$32=A51)*$G$21:$G$32*$O$21:$O$32)+SUMPRODUCT(($H$21:$H$32=A51)*$I$21:$I$32*$O$21:$O$32)</f>
        <v>106.5</v>
      </c>
      <c r="D51" s="27" t="n">
        <f aca="false">IF(B51=0,"–",MIN(1,C51/B51))</f>
        <v>0.295833333333333</v>
      </c>
      <c r="E51" s="24" t="n">
        <f aca="false">MAX(0,B51-C51)</f>
        <v>253.5</v>
      </c>
      <c r="F51" s="24" t="n">
        <f aca="false">MAX(0,C51-B51)</f>
        <v>0</v>
      </c>
      <c r="G51" s="7" t="n">
        <f aca="false">IFERROR(INDEX(Preise!$L$3:$L$53,MATCH(A51,Preise!$A$3:$A$53,0)),"")</f>
        <v>58</v>
      </c>
      <c r="H51" s="10" t="n">
        <f aca="false">IF(G51="","",MIN(B51,C51)*G51/100)</f>
        <v>61.77</v>
      </c>
      <c r="I51" s="10" t="n">
        <f aca="false">IF(G51="","",E51*G51/100)</f>
        <v>147.03</v>
      </c>
      <c r="J51" s="10" t="n">
        <f aca="false">IF(G51="","",F51*G51/100)</f>
        <v>0</v>
      </c>
    </row>
    <row r="52" customFormat="false" ht="15" hidden="false" customHeight="false" outlineLevel="0" collapsed="false">
      <c r="A52" s="8" t="s">
        <v>147</v>
      </c>
      <c r="B52" s="26" t="n">
        <f aca="false">SUMIFS(Bedarf!$F$3:$F$85,Bedarf!$A$3:$A$85,"VZ",Bedarf!$E$3:$E$85,A52)</f>
        <v>0</v>
      </c>
      <c r="C52" s="24" t="n">
        <f aca="false">SUMPRODUCT(($D$21:$D$32=A52)*$E$21:$E$32*$O$21:$O$32)+SUMPRODUCT(($F$21:$F$32=A52)*$G$21:$G$32*$O$21:$O$32)+SUMPRODUCT(($H$21:$H$32=A52)*$I$21:$I$32*$O$21:$O$32)</f>
        <v>6</v>
      </c>
      <c r="D52" s="27" t="str">
        <f aca="false">IF(B52=0,"–",MIN(1,C52/B52))</f>
        <v>–</v>
      </c>
      <c r="E52" s="24" t="n">
        <f aca="false">MAX(0,B52-C52)</f>
        <v>0</v>
      </c>
      <c r="F52" s="24" t="n">
        <f aca="false">MAX(0,C52-B52)</f>
        <v>6</v>
      </c>
      <c r="G52" s="7" t="n">
        <f aca="false">IFERROR(INDEX(Preise!$L$3:$L$53,MATCH(A52,Preise!$A$3:$A$53,0)),"")</f>
        <v>800</v>
      </c>
      <c r="H52" s="10" t="n">
        <f aca="false">IF(G52="","",MIN(B52,C52)*G52/100)</f>
        <v>0</v>
      </c>
      <c r="I52" s="10" t="n">
        <f aca="false">IF(G52="","",E52*G52/100)</f>
        <v>0</v>
      </c>
      <c r="J52" s="10" t="n">
        <f aca="false">IF(G52="","",F52*G52/100)</f>
        <v>48</v>
      </c>
    </row>
    <row r="53" customFormat="false" ht="15" hidden="false" customHeight="false" outlineLevel="0" collapsed="false">
      <c r="A53" s="8" t="s">
        <v>163</v>
      </c>
      <c r="B53" s="26" t="n">
        <f aca="false">SUMIFS(Bedarf!$F$3:$F$85,Bedarf!$A$3:$A$85,"VZ",Bedarf!$E$3:$E$85,A53)</f>
        <v>0</v>
      </c>
      <c r="C53" s="24" t="n">
        <f aca="false">SUMPRODUCT(($D$21:$D$32=A53)*$E$21:$E$32*$O$21:$O$32)+SUMPRODUCT(($F$21:$F$32=A53)*$G$21:$G$32*$O$21:$O$32)+SUMPRODUCT(($H$21:$H$32=A53)*$I$21:$I$32*$O$21:$O$32)</f>
        <v>0.8</v>
      </c>
      <c r="D53" s="27" t="str">
        <f aca="false">IF(B53=0,"–",MIN(1,C53/B53))</f>
        <v>–</v>
      </c>
      <c r="E53" s="24" t="n">
        <f aca="false">MAX(0,B53-C53)</f>
        <v>0</v>
      </c>
      <c r="F53" s="24" t="n">
        <f aca="false">MAX(0,C53-B53)</f>
        <v>0.8</v>
      </c>
      <c r="G53" s="7" t="n">
        <f aca="false">IFERROR(INDEX(Preise!$L$3:$L$53,MATCH(A53,Preise!$A$3:$A$53,0)),"")</f>
        <v>1149</v>
      </c>
      <c r="H53" s="10" t="n">
        <f aca="false">IF(G53="","",MIN(B53,C53)*G53/100)</f>
        <v>0</v>
      </c>
      <c r="I53" s="10" t="n">
        <f aca="false">IF(G53="","",E53*G53/100)</f>
        <v>0</v>
      </c>
      <c r="J53" s="10" t="n">
        <f aca="false">IF(G53="","",F53*G53/100)</f>
        <v>9.192</v>
      </c>
    </row>
    <row r="54" customFormat="false" ht="15" hidden="false" customHeight="false" outlineLevel="0" collapsed="false">
      <c r="A54" s="8" t="s">
        <v>149</v>
      </c>
      <c r="B54" s="26" t="n">
        <f aca="false">SUMIFS(Bedarf!$F$3:$F$85,Bedarf!$A$3:$A$85,"VZ",Bedarf!$E$3:$E$85,A54)</f>
        <v>0</v>
      </c>
      <c r="C54" s="24" t="n">
        <f aca="false">SUMPRODUCT(($D$21:$D$32=A54)*$E$21:$E$32*$O$21:$O$32)+SUMPRODUCT(($F$21:$F$32=A54)*$G$21:$G$32*$O$21:$O$32)+SUMPRODUCT(($H$21:$H$32=A54)*$I$21:$I$32*$O$21:$O$32)</f>
        <v>9.6</v>
      </c>
      <c r="D54" s="27" t="str">
        <f aca="false">IF(B54=0,"–",MIN(1,C54/B54))</f>
        <v>–</v>
      </c>
      <c r="E54" s="24" t="n">
        <f aca="false">MAX(0,B54-C54)</f>
        <v>0</v>
      </c>
      <c r="F54" s="24" t="n">
        <f aca="false">MAX(0,C54-B54)</f>
        <v>9.6</v>
      </c>
      <c r="G54" s="7" t="n">
        <f aca="false">IFERROR(INDEX(Preise!$L$3:$L$53,MATCH(A54,Preise!$A$3:$A$53,0)),"")</f>
        <v>200</v>
      </c>
      <c r="H54" s="10" t="n">
        <f aca="false">IF(G54="","",MIN(B54,C54)*G54/100)</f>
        <v>0</v>
      </c>
      <c r="I54" s="10" t="n">
        <f aca="false">IF(G54="","",E54*G54/100)</f>
        <v>0</v>
      </c>
      <c r="J54" s="10" t="n">
        <f aca="false">IF(G54="","",F54*G54/100)</f>
        <v>19.2</v>
      </c>
    </row>
    <row r="55" customFormat="false" ht="15" hidden="false" customHeight="false" outlineLevel="0" collapsed="false">
      <c r="A55" s="8" t="s">
        <v>90</v>
      </c>
      <c r="B55" s="26" t="n">
        <f aca="false">SUMIFS(Bedarf!$F$3:$F$85,Bedarf!$A$3:$A$85,"VZ",Bedarf!$E$3:$E$85,A55)</f>
        <v>4</v>
      </c>
      <c r="C55" s="24" t="n">
        <f aca="false">SUMPRODUCT(($D$21:$D$32=A55)*$E$21:$E$32*$O$21:$O$32)+SUMPRODUCT(($F$21:$F$32=A55)*$G$21:$G$32*$O$21:$O$32)+SUMPRODUCT(($H$21:$H$32=A55)*$I$21:$I$32*$O$21:$O$32)</f>
        <v>1.28</v>
      </c>
      <c r="D55" s="27" t="n">
        <f aca="false">IF(B55=0,"–",MIN(1,C55/B55))</f>
        <v>0.32</v>
      </c>
      <c r="E55" s="24" t="n">
        <f aca="false">MAX(0,B55-C55)</f>
        <v>2.72</v>
      </c>
      <c r="F55" s="24" t="n">
        <f aca="false">MAX(0,C55-B55)</f>
        <v>0</v>
      </c>
      <c r="G55" s="7" t="n">
        <f aca="false">IFERROR(INDEX(Preise!$L$3:$L$53,MATCH(A55,Preise!$A$3:$A$53,0)),"")</f>
        <v>488</v>
      </c>
      <c r="H55" s="10" t="n">
        <f aca="false">IF(G55="","",MIN(B55,C55)*G55/100)</f>
        <v>6.2464</v>
      </c>
      <c r="I55" s="10" t="n">
        <f aca="false">IF(G55="","",E55*G55/100)</f>
        <v>13.2736</v>
      </c>
      <c r="J55" s="10" t="n">
        <f aca="false">IF(G55="","",F55*G55/100)</f>
        <v>0</v>
      </c>
    </row>
    <row r="56" customFormat="false" ht="15" hidden="false" customHeight="false" outlineLevel="0" collapsed="false">
      <c r="A56" s="8" t="s">
        <v>87</v>
      </c>
      <c r="B56" s="26" t="n">
        <f aca="false">SUMIFS(Bedarf!$F$3:$F$85,Bedarf!$A$3:$A$85,"VZ",Bedarf!$E$3:$E$85,A56)</f>
        <v>50</v>
      </c>
      <c r="C56" s="24" t="n">
        <f aca="false">SUMPRODUCT(($D$21:$D$32=A56)*$E$21:$E$32*$O$21:$O$32)+SUMPRODUCT(($F$21:$F$32=A56)*$G$21:$G$32*$O$21:$O$32)+SUMPRODUCT(($H$21:$H$32=A56)*$I$21:$I$32*$O$21:$O$32)</f>
        <v>11.25</v>
      </c>
      <c r="D56" s="27" t="n">
        <f aca="false">IF(B56=0,"–",MIN(1,C56/B56))</f>
        <v>0.225</v>
      </c>
      <c r="E56" s="24" t="n">
        <f aca="false">MAX(0,B56-C56)</f>
        <v>38.75</v>
      </c>
      <c r="F56" s="24" t="n">
        <f aca="false">MAX(0,C56-B56)</f>
        <v>0</v>
      </c>
      <c r="G56" s="7" t="n">
        <f aca="false">IFERROR(INDEX(Preise!$L$3:$L$53,MATCH(A56,Preise!$A$3:$A$53,0)),"")</f>
        <v>1000</v>
      </c>
      <c r="H56" s="10" t="n">
        <f aca="false">IF(G56="","",MIN(B56,C56)*G56/100)</f>
        <v>112.5</v>
      </c>
      <c r="I56" s="10" t="n">
        <f aca="false">IF(G56="","",E56*G56/100)</f>
        <v>387.5</v>
      </c>
      <c r="J56" s="10" t="n">
        <f aca="false">IF(G56="","",F56*G56/100)</f>
        <v>0</v>
      </c>
    </row>
    <row r="57" customFormat="false" ht="15" hidden="false" customHeight="false" outlineLevel="0" collapsed="false">
      <c r="A57" s="8" t="s">
        <v>88</v>
      </c>
      <c r="B57" s="26" t="n">
        <f aca="false">SUMIFS(Bedarf!$F$3:$F$85,Bedarf!$A$3:$A$85,"VZ",Bedarf!$E$3:$E$85,A57)</f>
        <v>4</v>
      </c>
      <c r="C57" s="24" t="n">
        <f aca="false">SUMPRODUCT(($D$21:$D$32=A57)*$E$21:$E$32*$O$21:$O$32)+SUMPRODUCT(($F$21:$F$32=A57)*$G$21:$G$32*$O$21:$O$32)+SUMPRODUCT(($H$21:$H$32=A57)*$I$21:$I$32*$O$21:$O$32)</f>
        <v>3</v>
      </c>
      <c r="D57" s="27" t="n">
        <f aca="false">IF(B57=0,"–",MIN(1,C57/B57))</f>
        <v>0.75</v>
      </c>
      <c r="E57" s="24" t="n">
        <f aca="false">MAX(0,B57-C57)</f>
        <v>1</v>
      </c>
      <c r="F57" s="24" t="n">
        <f aca="false">MAX(0,C57-B57)</f>
        <v>0</v>
      </c>
      <c r="G57" s="7" t="str">
        <f aca="false">IFERROR(INDEX(Preise!$L$3:$L$53,MATCH(A57,Preise!$A$3:$A$53,0)),"")</f>
        <v/>
      </c>
      <c r="H57" s="10" t="str">
        <f aca="false">IF(G57="","",MIN(B57,C57)*G57/100)</f>
        <v/>
      </c>
      <c r="I57" s="10" t="str">
        <f aca="false">IF(G57="","",E57*G57/100)</f>
        <v/>
      </c>
      <c r="J57" s="10" t="str">
        <f aca="false">IF(G57="","",F57*G57/100)</f>
        <v/>
      </c>
    </row>
    <row r="58" customFormat="false" ht="15" hidden="false" customHeight="false" outlineLevel="0" collapsed="false">
      <c r="A58" s="8" t="s">
        <v>91</v>
      </c>
      <c r="B58" s="26" t="n">
        <f aca="false">SUMIFS(Bedarf!$F$3:$F$85,Bedarf!$A$3:$A$85,"VZ",Bedarf!$E$3:$E$85,A58)</f>
        <v>2</v>
      </c>
      <c r="C58" s="24" t="n">
        <f aca="false">SUMPRODUCT(($D$21:$D$32=A58)*$E$21:$E$32*$O$21:$O$32)+SUMPRODUCT(($F$21:$F$32=A58)*$G$21:$G$32*$O$21:$O$32)+SUMPRODUCT(($H$21:$H$32=A58)*$I$21:$I$32*$O$21:$O$32)</f>
        <v>0.4</v>
      </c>
      <c r="D58" s="27" t="n">
        <f aca="false">IF(B58=0,"–",MIN(1,C58/B58))</f>
        <v>0.2</v>
      </c>
      <c r="E58" s="24" t="n">
        <f aca="false">MAX(0,B58-C58)</f>
        <v>1.6</v>
      </c>
      <c r="F58" s="24" t="n">
        <f aca="false">MAX(0,C58-B58)</f>
        <v>0</v>
      </c>
      <c r="G58" s="7" t="str">
        <f aca="false">IFERROR(INDEX(Preise!$L$3:$L$53,MATCH(A58,Preise!$A$3:$A$53,0)),"")</f>
        <v/>
      </c>
      <c r="H58" s="10" t="str">
        <f aca="false">IF(G58="","",MIN(B58,C58)*G58/100)</f>
        <v/>
      </c>
      <c r="I58" s="10" t="str">
        <f aca="false">IF(G58="","",E58*G58/100)</f>
        <v/>
      </c>
      <c r="J58" s="10" t="str">
        <f aca="false">IF(G58="","",F58*G58/100)</f>
        <v/>
      </c>
    </row>
    <row r="59" customFormat="false" ht="15" hidden="false" customHeight="false" outlineLevel="0" collapsed="false">
      <c r="A59" s="11" t="s">
        <v>396</v>
      </c>
      <c r="H59" s="12" t="n">
        <f aca="false">SUM(H36:H58)</f>
        <v>201.5845625</v>
      </c>
      <c r="I59" s="12" t="n">
        <f aca="false">SUM(I36:I58)</f>
        <v>600.1142375</v>
      </c>
      <c r="J59" s="12" t="n">
        <f aca="false">SUM(J36:J58)</f>
        <v>84.04404</v>
      </c>
    </row>
    <row r="60" customFormat="false" ht="15" hidden="false" customHeight="false" outlineLevel="0" collapsed="false">
      <c r="A60" s="2" t="s">
        <v>397</v>
      </c>
    </row>
  </sheetData>
  <hyperlinks>
    <hyperlink ref="AD21" r:id="rId1" display="https://www.wowhead.com/forever/item=4239/embossed-leather-gloves"/>
    <hyperlink ref="AD22" r:id="rId2" display="https://www.wowhead.com/forever/item=4246/fine-leather-belt"/>
    <hyperlink ref="AD23" r:id="rId3" display="https://www.wowhead.com/forever/item=7282/light-leather-pants"/>
    <hyperlink ref="AD24" r:id="rId4" display="https://www.wowhead.com/forever/item=2315/dark-leather-boots"/>
    <hyperlink ref="AD25" r:id="rId5" display="https://www.wowhead.com/forever/item=4249/dark-leather-belt"/>
    <hyperlink ref="AD26" r:id="rId6" display="https://www.wowhead.com/forever/item=4247/hillmans-leather-gloves"/>
    <hyperlink ref="AD27" r:id="rId7" display="https://www.wowhead.com/forever/item=5964/barbaric-shoulders"/>
    <hyperlink ref="AD28" r:id="rId8" display="https://ahledger.com/items/5966-guardian-gloves"/>
    <hyperlink ref="AD29" r:id="rId9" display="https://www.wowhead.com/forever/item=8176/nightscape-headband"/>
    <hyperlink ref="AD30" r:id="rId10" display="https://ahledger.com/items/8193-nightscape-pants"/>
    <hyperlink ref="AD31" r:id="rId11" display="https://www.wowhead.com/forever/item=15083/wicked-leather-gauntlets"/>
    <hyperlink ref="AD32" r:id="rId12" display="https://ahledger.com/items/15086-wicked-leather-headband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6"/>
    <col collapsed="false" customWidth="true" hidden="false" outlineLevel="0" max="3" min="3" style="0" width="26"/>
    <col collapsed="false" customWidth="true" hidden="false" outlineLevel="0" max="5" min="4" style="0" width="12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8"/>
    <col collapsed="false" customWidth="true" hidden="false" outlineLevel="0" max="10" min="10" style="0" width="58"/>
    <col collapsed="false" customWidth="true" hidden="false" outlineLevel="0" max="11" min="11" style="0" width="60"/>
  </cols>
  <sheetData>
    <row r="1" customFormat="false" ht="15" hidden="false" customHeight="false" outlineLevel="0" collapsed="false">
      <c r="A1" s="3" t="s">
        <v>398</v>
      </c>
    </row>
    <row r="2" customFormat="false" ht="15" hidden="false" customHeight="false" outlineLevel="0" collapsed="false">
      <c r="A2" s="2" t="s">
        <v>399</v>
      </c>
    </row>
    <row r="3" customFormat="false" ht="23.85" hidden="false" customHeight="false" outlineLevel="0" collapsed="false">
      <c r="A3" s="6" t="s">
        <v>400</v>
      </c>
      <c r="B3" s="6" t="s">
        <v>38</v>
      </c>
      <c r="C3" s="6" t="s">
        <v>401</v>
      </c>
      <c r="D3" s="6" t="s">
        <v>402</v>
      </c>
      <c r="E3" s="6" t="s">
        <v>403</v>
      </c>
      <c r="F3" s="6" t="s">
        <v>404</v>
      </c>
      <c r="G3" s="6" t="s">
        <v>405</v>
      </c>
      <c r="H3" s="6" t="s">
        <v>406</v>
      </c>
      <c r="I3" s="6" t="s">
        <v>407</v>
      </c>
      <c r="J3" s="6" t="s">
        <v>43</v>
      </c>
      <c r="K3" s="6" t="s">
        <v>102</v>
      </c>
    </row>
    <row r="4" customFormat="false" ht="15" hidden="false" customHeight="false" outlineLevel="0" collapsed="false">
      <c r="A4" s="8" t="s">
        <v>408</v>
      </c>
      <c r="B4" s="8" t="s">
        <v>64</v>
      </c>
      <c r="C4" s="8" t="s">
        <v>409</v>
      </c>
      <c r="D4" s="18" t="n">
        <v>1.1</v>
      </c>
      <c r="E4" s="18" t="n">
        <v>-0.7</v>
      </c>
      <c r="F4" s="28" t="n">
        <v>-0.27</v>
      </c>
      <c r="G4" s="18" t="n">
        <v>0.18</v>
      </c>
      <c r="H4" s="28" t="n">
        <v>0.1</v>
      </c>
      <c r="I4" s="16" t="s">
        <v>410</v>
      </c>
      <c r="J4" s="8" t="s">
        <v>411</v>
      </c>
      <c r="K4" s="21" t="s">
        <v>412</v>
      </c>
    </row>
    <row r="5" customFormat="false" ht="15" hidden="false" customHeight="false" outlineLevel="0" collapsed="false">
      <c r="A5" s="8" t="s">
        <v>413</v>
      </c>
      <c r="B5" s="8" t="s">
        <v>64</v>
      </c>
      <c r="C5" s="8" t="s">
        <v>409</v>
      </c>
      <c r="D5" s="18" t="n">
        <v>2</v>
      </c>
      <c r="E5" s="18" t="n">
        <v>-1.7</v>
      </c>
      <c r="F5" s="28" t="n">
        <v>-0.37</v>
      </c>
      <c r="G5" s="18" t="n">
        <v>0.1</v>
      </c>
      <c r="H5" s="28" t="n">
        <v>0.04</v>
      </c>
      <c r="I5" s="16" t="s">
        <v>414</v>
      </c>
      <c r="J5" s="8"/>
      <c r="K5" s="21" t="s">
        <v>415</v>
      </c>
    </row>
    <row r="6" customFormat="false" ht="15" hidden="false" customHeight="false" outlineLevel="0" collapsed="false">
      <c r="A6" s="8" t="s">
        <v>416</v>
      </c>
      <c r="B6" s="8" t="s">
        <v>64</v>
      </c>
      <c r="C6" s="8" t="s">
        <v>409</v>
      </c>
      <c r="D6" s="18" t="n">
        <v>4.5</v>
      </c>
      <c r="E6" s="18" t="n">
        <v>-86.86</v>
      </c>
      <c r="F6" s="28" t="n">
        <v>-0.7</v>
      </c>
      <c r="G6" s="18"/>
      <c r="H6" s="28"/>
      <c r="I6" s="16" t="s">
        <v>417</v>
      </c>
      <c r="J6" s="8" t="s">
        <v>418</v>
      </c>
      <c r="K6" s="21" t="s">
        <v>419</v>
      </c>
    </row>
    <row r="7" customFormat="false" ht="15" hidden="false" customHeight="false" outlineLevel="0" collapsed="false">
      <c r="A7" s="8" t="s">
        <v>420</v>
      </c>
      <c r="B7" s="8" t="s">
        <v>64</v>
      </c>
      <c r="C7" s="8" t="s">
        <v>409</v>
      </c>
      <c r="D7" s="18" t="n">
        <v>6</v>
      </c>
      <c r="E7" s="18" t="n">
        <v>-59.17</v>
      </c>
      <c r="F7" s="28" t="n">
        <v>-0.47</v>
      </c>
      <c r="G7" s="18" t="n">
        <v>-47.98</v>
      </c>
      <c r="H7" s="28" t="n">
        <v>-0.5</v>
      </c>
      <c r="I7" s="16" t="s">
        <v>421</v>
      </c>
      <c r="J7" s="8"/>
      <c r="K7" s="21" t="s">
        <v>422</v>
      </c>
    </row>
    <row r="8" customFormat="false" ht="15" hidden="false" customHeight="false" outlineLevel="0" collapsed="false">
      <c r="A8" s="8" t="s">
        <v>423</v>
      </c>
      <c r="B8" s="8" t="s">
        <v>64</v>
      </c>
      <c r="C8" s="8" t="s">
        <v>409</v>
      </c>
      <c r="D8" s="18" t="n">
        <v>0.05</v>
      </c>
      <c r="E8" s="18" t="n">
        <v>0.11</v>
      </c>
      <c r="F8" s="28" t="n">
        <v>0.13</v>
      </c>
      <c r="G8" s="18" t="n">
        <v>-0.23</v>
      </c>
      <c r="H8" s="28" t="n">
        <v>-0.19</v>
      </c>
      <c r="I8" s="16" t="s">
        <v>424</v>
      </c>
      <c r="J8" s="8"/>
      <c r="K8" s="21" t="s">
        <v>425</v>
      </c>
    </row>
    <row r="9" customFormat="false" ht="15" hidden="false" customHeight="false" outlineLevel="0" collapsed="false">
      <c r="A9" s="8" t="s">
        <v>426</v>
      </c>
      <c r="B9" s="8" t="s">
        <v>64</v>
      </c>
      <c r="C9" s="8" t="s">
        <v>409</v>
      </c>
      <c r="D9" s="18" t="n">
        <v>10</v>
      </c>
      <c r="E9" s="18"/>
      <c r="F9" s="28"/>
      <c r="G9" s="18"/>
      <c r="H9" s="28"/>
      <c r="I9" s="16" t="s">
        <v>169</v>
      </c>
      <c r="J9" s="8" t="s">
        <v>427</v>
      </c>
      <c r="K9" s="21" t="s">
        <v>428</v>
      </c>
    </row>
    <row r="10" customFormat="false" ht="15" hidden="false" customHeight="false" outlineLevel="0" collapsed="false">
      <c r="A10" s="8" t="s">
        <v>429</v>
      </c>
      <c r="B10" s="8" t="s">
        <v>64</v>
      </c>
      <c r="C10" s="8" t="s">
        <v>409</v>
      </c>
      <c r="D10" s="18" t="n">
        <v>15</v>
      </c>
      <c r="E10" s="18"/>
      <c r="F10" s="28"/>
      <c r="G10" s="18"/>
      <c r="H10" s="28"/>
      <c r="I10" s="16" t="s">
        <v>169</v>
      </c>
      <c r="J10" s="8" t="s">
        <v>430</v>
      </c>
      <c r="K10" s="21" t="s">
        <v>431</v>
      </c>
    </row>
    <row r="11" customFormat="false" ht="15" hidden="false" customHeight="false" outlineLevel="0" collapsed="false">
      <c r="A11" s="8" t="s">
        <v>432</v>
      </c>
      <c r="B11" s="8" t="s">
        <v>64</v>
      </c>
      <c r="C11" s="8" t="s">
        <v>409</v>
      </c>
      <c r="D11" s="18" t="n">
        <v>20</v>
      </c>
      <c r="E11" s="18"/>
      <c r="F11" s="28"/>
      <c r="G11" s="18"/>
      <c r="H11" s="28"/>
      <c r="I11" s="16" t="s">
        <v>169</v>
      </c>
      <c r="J11" s="8" t="s">
        <v>433</v>
      </c>
      <c r="K11" s="21" t="s">
        <v>434</v>
      </c>
    </row>
    <row r="12" customFormat="false" ht="15" hidden="false" customHeight="false" outlineLevel="0" collapsed="false">
      <c r="A12" s="8" t="s">
        <v>435</v>
      </c>
      <c r="B12" s="8" t="s">
        <v>64</v>
      </c>
      <c r="C12" s="8" t="s">
        <v>409</v>
      </c>
      <c r="D12" s="18" t="n">
        <v>25</v>
      </c>
      <c r="E12" s="18"/>
      <c r="F12" s="28"/>
      <c r="G12" s="18"/>
      <c r="H12" s="28"/>
      <c r="I12" s="16" t="s">
        <v>169</v>
      </c>
      <c r="J12" s="8" t="s">
        <v>436</v>
      </c>
      <c r="K12" s="21" t="s">
        <v>437</v>
      </c>
    </row>
    <row r="13" customFormat="false" ht="15" hidden="false" customHeight="false" outlineLevel="0" collapsed="false">
      <c r="A13" s="8" t="s">
        <v>438</v>
      </c>
      <c r="B13" s="8" t="s">
        <v>64</v>
      </c>
      <c r="C13" s="8" t="s">
        <v>439</v>
      </c>
      <c r="D13" s="18"/>
      <c r="E13" s="18"/>
      <c r="F13" s="28"/>
      <c r="G13" s="18"/>
      <c r="H13" s="28"/>
      <c r="I13" s="16" t="s">
        <v>169</v>
      </c>
      <c r="J13" s="8" t="s">
        <v>440</v>
      </c>
      <c r="K13" s="21" t="s">
        <v>441</v>
      </c>
    </row>
    <row r="14" customFormat="false" ht="15" hidden="false" customHeight="false" outlineLevel="0" collapsed="false">
      <c r="A14" s="8" t="s">
        <v>442</v>
      </c>
      <c r="B14" s="8" t="s">
        <v>64</v>
      </c>
      <c r="C14" s="8" t="s">
        <v>443</v>
      </c>
      <c r="D14" s="18" t="n">
        <v>1</v>
      </c>
      <c r="E14" s="18" t="n">
        <v>7.37</v>
      </c>
      <c r="F14" s="28" t="n">
        <v>1.24</v>
      </c>
      <c r="G14" s="18" t="n">
        <v>3.51</v>
      </c>
      <c r="H14" s="28" t="n">
        <v>0.7</v>
      </c>
      <c r="I14" s="16" t="s">
        <v>444</v>
      </c>
      <c r="J14" s="8" t="s">
        <v>445</v>
      </c>
      <c r="K14" s="21" t="s">
        <v>446</v>
      </c>
    </row>
    <row r="15" customFormat="false" ht="15" hidden="false" customHeight="false" outlineLevel="0" collapsed="false">
      <c r="A15" s="8" t="s">
        <v>447</v>
      </c>
      <c r="B15" s="8" t="s">
        <v>64</v>
      </c>
      <c r="C15" s="8" t="s">
        <v>443</v>
      </c>
      <c r="D15" s="18" t="n">
        <v>10</v>
      </c>
      <c r="E15" s="18" t="n">
        <v>-6.26</v>
      </c>
      <c r="F15" s="28" t="n">
        <v>-0.35</v>
      </c>
      <c r="G15" s="18" t="n">
        <v>9.8</v>
      </c>
      <c r="H15" s="28" t="n">
        <v>0.58</v>
      </c>
      <c r="I15" s="16" t="s">
        <v>448</v>
      </c>
      <c r="J15" s="8" t="s">
        <v>449</v>
      </c>
      <c r="K15" s="21" t="s">
        <v>450</v>
      </c>
    </row>
    <row r="16" customFormat="false" ht="15" hidden="false" customHeight="false" outlineLevel="0" collapsed="false">
      <c r="A16" s="8" t="s">
        <v>451</v>
      </c>
      <c r="B16" s="8" t="s">
        <v>64</v>
      </c>
      <c r="C16" s="8" t="s">
        <v>443</v>
      </c>
      <c r="D16" s="18"/>
      <c r="E16" s="18" t="n">
        <v>-31.96</v>
      </c>
      <c r="F16" s="28" t="n">
        <v>-0.57</v>
      </c>
      <c r="G16" s="18" t="n">
        <v>-17.34</v>
      </c>
      <c r="H16" s="28" t="n">
        <v>-0.48</v>
      </c>
      <c r="I16" s="16" t="s">
        <v>452</v>
      </c>
      <c r="J16" s="8"/>
      <c r="K16" s="21" t="s">
        <v>453</v>
      </c>
    </row>
    <row r="17" customFormat="false" ht="15" hidden="false" customHeight="false" outlineLevel="0" collapsed="false">
      <c r="A17" s="8" t="s">
        <v>454</v>
      </c>
      <c r="B17" s="8" t="s">
        <v>64</v>
      </c>
      <c r="C17" s="8" t="s">
        <v>443</v>
      </c>
      <c r="D17" s="18"/>
      <c r="E17" s="18"/>
      <c r="F17" s="28"/>
      <c r="G17" s="18"/>
      <c r="H17" s="28"/>
      <c r="I17" s="16" t="s">
        <v>169</v>
      </c>
      <c r="J17" s="8" t="s">
        <v>455</v>
      </c>
      <c r="K17" s="21" t="s">
        <v>456</v>
      </c>
    </row>
    <row r="18" customFormat="false" ht="15" hidden="false" customHeight="false" outlineLevel="0" collapsed="false">
      <c r="A18" s="8" t="s">
        <v>457</v>
      </c>
      <c r="B18" s="8" t="s">
        <v>64</v>
      </c>
      <c r="C18" s="8" t="s">
        <v>443</v>
      </c>
      <c r="D18" s="18"/>
      <c r="E18" s="18"/>
      <c r="F18" s="28"/>
      <c r="G18" s="18"/>
      <c r="H18" s="28"/>
      <c r="I18" s="16" t="s">
        <v>169</v>
      </c>
      <c r="J18" s="8" t="s">
        <v>458</v>
      </c>
      <c r="K18" s="21" t="s">
        <v>459</v>
      </c>
    </row>
    <row r="19" customFormat="false" ht="15" hidden="false" customHeight="false" outlineLevel="0" collapsed="false">
      <c r="A19" s="8" t="s">
        <v>460</v>
      </c>
      <c r="B19" s="8" t="s">
        <v>64</v>
      </c>
      <c r="C19" s="8" t="s">
        <v>443</v>
      </c>
      <c r="D19" s="18"/>
      <c r="E19" s="18"/>
      <c r="F19" s="28"/>
      <c r="G19" s="18"/>
      <c r="H19" s="28"/>
      <c r="I19" s="16" t="s">
        <v>169</v>
      </c>
      <c r="J19" s="8" t="s">
        <v>461</v>
      </c>
      <c r="K19" s="21" t="s">
        <v>462</v>
      </c>
    </row>
    <row r="20" customFormat="false" ht="15" hidden="false" customHeight="false" outlineLevel="0" collapsed="false">
      <c r="A20" s="8" t="s">
        <v>463</v>
      </c>
      <c r="B20" s="8" t="s">
        <v>64</v>
      </c>
      <c r="C20" s="8" t="s">
        <v>443</v>
      </c>
      <c r="D20" s="18" t="n">
        <v>10</v>
      </c>
      <c r="E20" s="18"/>
      <c r="F20" s="28"/>
      <c r="G20" s="18"/>
      <c r="H20" s="28"/>
      <c r="I20" s="16" t="s">
        <v>169</v>
      </c>
      <c r="J20" s="8" t="s">
        <v>464</v>
      </c>
      <c r="K20" s="21" t="s">
        <v>465</v>
      </c>
    </row>
    <row r="21" customFormat="false" ht="15" hidden="false" customHeight="false" outlineLevel="0" collapsed="false">
      <c r="A21" s="8" t="s">
        <v>466</v>
      </c>
      <c r="B21" s="8" t="s">
        <v>64</v>
      </c>
      <c r="C21" s="8" t="s">
        <v>467</v>
      </c>
      <c r="D21" s="18"/>
      <c r="E21" s="18" t="n">
        <v>-1.56</v>
      </c>
      <c r="F21" s="28" t="n">
        <v>-0.52</v>
      </c>
      <c r="G21" s="18" t="n">
        <v>6.52</v>
      </c>
      <c r="H21" s="28" t="n">
        <v>2.19</v>
      </c>
      <c r="I21" s="16" t="s">
        <v>468</v>
      </c>
      <c r="J21" s="8" t="s">
        <v>469</v>
      </c>
      <c r="K21" s="21" t="s">
        <v>470</v>
      </c>
    </row>
    <row r="22" customFormat="false" ht="15" hidden="false" customHeight="false" outlineLevel="0" collapsed="false">
      <c r="A22" s="8" t="s">
        <v>471</v>
      </c>
      <c r="B22" s="8" t="s">
        <v>64</v>
      </c>
      <c r="C22" s="8" t="s">
        <v>472</v>
      </c>
      <c r="D22" s="18"/>
      <c r="E22" s="18" t="n">
        <v>84.49</v>
      </c>
      <c r="F22" s="28" t="n">
        <v>0.42</v>
      </c>
      <c r="G22" s="18" t="n">
        <v>44.13</v>
      </c>
      <c r="H22" s="28" t="n">
        <v>0.16</v>
      </c>
      <c r="I22" s="16" t="s">
        <v>473</v>
      </c>
      <c r="J22" s="8" t="s">
        <v>474</v>
      </c>
      <c r="K22" s="21" t="s">
        <v>475</v>
      </c>
    </row>
    <row r="23" customFormat="false" ht="15" hidden="false" customHeight="false" outlineLevel="0" collapsed="false">
      <c r="A23" s="8" t="s">
        <v>476</v>
      </c>
      <c r="B23" s="8" t="s">
        <v>64</v>
      </c>
      <c r="C23" s="8" t="s">
        <v>439</v>
      </c>
      <c r="D23" s="18"/>
      <c r="E23" s="18"/>
      <c r="F23" s="28"/>
      <c r="G23" s="18"/>
      <c r="H23" s="28"/>
      <c r="I23" s="16" t="s">
        <v>169</v>
      </c>
      <c r="J23" s="8" t="s">
        <v>477</v>
      </c>
      <c r="K23" s="21" t="s">
        <v>478</v>
      </c>
    </row>
    <row r="24" customFormat="false" ht="15" hidden="false" customHeight="false" outlineLevel="0" collapsed="false">
      <c r="A24" s="8" t="s">
        <v>479</v>
      </c>
      <c r="B24" s="8" t="s">
        <v>64</v>
      </c>
      <c r="C24" s="8" t="s">
        <v>439</v>
      </c>
      <c r="D24" s="18"/>
      <c r="E24" s="18"/>
      <c r="F24" s="28"/>
      <c r="G24" s="18"/>
      <c r="H24" s="28"/>
      <c r="I24" s="16" t="s">
        <v>169</v>
      </c>
      <c r="J24" s="8" t="s">
        <v>477</v>
      </c>
      <c r="K24" s="21" t="s">
        <v>480</v>
      </c>
    </row>
    <row r="25" customFormat="false" ht="15" hidden="false" customHeight="false" outlineLevel="0" collapsed="false">
      <c r="A25" s="8" t="s">
        <v>481</v>
      </c>
      <c r="B25" s="8" t="s">
        <v>64</v>
      </c>
      <c r="C25" s="8" t="s">
        <v>482</v>
      </c>
      <c r="D25" s="18"/>
      <c r="E25" s="18"/>
      <c r="F25" s="28"/>
      <c r="G25" s="18"/>
      <c r="H25" s="28"/>
      <c r="I25" s="16" t="s">
        <v>169</v>
      </c>
      <c r="J25" s="8" t="s">
        <v>483</v>
      </c>
      <c r="K25" s="21" t="s">
        <v>484</v>
      </c>
    </row>
    <row r="26" customFormat="false" ht="15" hidden="false" customHeight="false" outlineLevel="0" collapsed="false">
      <c r="A26" s="8" t="s">
        <v>485</v>
      </c>
      <c r="B26" s="8" t="s">
        <v>45</v>
      </c>
      <c r="C26" s="8" t="s">
        <v>443</v>
      </c>
      <c r="D26" s="18"/>
      <c r="E26" s="18" t="n">
        <v>9.11</v>
      </c>
      <c r="F26" s="28" t="n">
        <v>0.62</v>
      </c>
      <c r="G26" s="18" t="n">
        <v>8.32</v>
      </c>
      <c r="H26" s="28" t="n">
        <v>0.78</v>
      </c>
      <c r="I26" s="16" t="s">
        <v>486</v>
      </c>
      <c r="J26" s="8"/>
      <c r="K26" s="21" t="s">
        <v>487</v>
      </c>
    </row>
    <row r="27" customFormat="false" ht="15" hidden="false" customHeight="false" outlineLevel="0" collapsed="false">
      <c r="A27" s="8" t="s">
        <v>488</v>
      </c>
      <c r="B27" s="8" t="s">
        <v>45</v>
      </c>
      <c r="C27" s="8" t="s">
        <v>443</v>
      </c>
      <c r="D27" s="18"/>
      <c r="E27" s="18" t="n">
        <v>2.61</v>
      </c>
      <c r="F27" s="28" t="n">
        <v>0.33</v>
      </c>
      <c r="G27" s="18" t="n">
        <v>-0.54</v>
      </c>
      <c r="H27" s="28" t="n">
        <v>-0.06</v>
      </c>
      <c r="I27" s="16" t="s">
        <v>489</v>
      </c>
      <c r="J27" s="8"/>
      <c r="K27" s="21" t="s">
        <v>490</v>
      </c>
    </row>
    <row r="28" customFormat="false" ht="15" hidden="false" customHeight="false" outlineLevel="0" collapsed="false">
      <c r="A28" s="8" t="s">
        <v>491</v>
      </c>
      <c r="B28" s="8" t="s">
        <v>45</v>
      </c>
      <c r="C28" s="8" t="s">
        <v>443</v>
      </c>
      <c r="D28" s="18"/>
      <c r="E28" s="18" t="n">
        <v>29.23</v>
      </c>
      <c r="F28" s="28" t="n">
        <v>0.46</v>
      </c>
      <c r="G28" s="18" t="n">
        <v>-18.87</v>
      </c>
      <c r="H28" s="28" t="n">
        <v>-0.3</v>
      </c>
      <c r="I28" s="16" t="s">
        <v>169</v>
      </c>
      <c r="J28" s="8"/>
      <c r="K28" s="21" t="s">
        <v>492</v>
      </c>
    </row>
    <row r="29" customFormat="false" ht="15" hidden="false" customHeight="false" outlineLevel="0" collapsed="false">
      <c r="A29" s="8" t="s">
        <v>493</v>
      </c>
      <c r="B29" s="8" t="s">
        <v>45</v>
      </c>
      <c r="C29" s="8" t="s">
        <v>443</v>
      </c>
      <c r="D29" s="18"/>
      <c r="E29" s="18" t="n">
        <v>-6.5</v>
      </c>
      <c r="F29" s="28" t="n">
        <v>-0.2</v>
      </c>
      <c r="G29" s="18" t="n">
        <v>-12.67</v>
      </c>
      <c r="H29" s="28" t="n">
        <v>-0.32</v>
      </c>
      <c r="I29" s="16" t="s">
        <v>494</v>
      </c>
      <c r="J29" s="8"/>
      <c r="K29" s="21" t="s">
        <v>495</v>
      </c>
    </row>
    <row r="30" customFormat="false" ht="15" hidden="false" customHeight="false" outlineLevel="0" collapsed="false">
      <c r="A30" s="8" t="s">
        <v>496</v>
      </c>
      <c r="B30" s="8" t="s">
        <v>45</v>
      </c>
      <c r="C30" s="8" t="s">
        <v>443</v>
      </c>
      <c r="D30" s="18"/>
      <c r="E30" s="18" t="n">
        <v>-26.38</v>
      </c>
      <c r="F30" s="28" t="n">
        <v>-0.4</v>
      </c>
      <c r="G30" s="18" t="n">
        <v>-12.51</v>
      </c>
      <c r="H30" s="28" t="n">
        <v>-0.23</v>
      </c>
      <c r="I30" s="16" t="s">
        <v>169</v>
      </c>
      <c r="J30" s="8"/>
      <c r="K30" s="21" t="s">
        <v>497</v>
      </c>
    </row>
    <row r="31" customFormat="false" ht="15" hidden="false" customHeight="false" outlineLevel="0" collapsed="false">
      <c r="A31" s="8" t="s">
        <v>498</v>
      </c>
      <c r="B31" s="8" t="s">
        <v>45</v>
      </c>
      <c r="C31" s="8" t="s">
        <v>443</v>
      </c>
      <c r="D31" s="18"/>
      <c r="E31" s="18" t="n">
        <v>-0.48</v>
      </c>
      <c r="F31" s="28" t="n">
        <v>-0.77</v>
      </c>
      <c r="G31" s="18" t="n">
        <v>-1.04</v>
      </c>
      <c r="H31" s="28" t="n">
        <v>-0.88</v>
      </c>
      <c r="I31" s="16" t="s">
        <v>499</v>
      </c>
      <c r="J31" s="8"/>
      <c r="K31" s="21" t="s">
        <v>500</v>
      </c>
    </row>
    <row r="32" customFormat="false" ht="15" hidden="false" customHeight="false" outlineLevel="0" collapsed="false">
      <c r="A32" s="8" t="s">
        <v>501</v>
      </c>
      <c r="B32" s="8" t="s">
        <v>45</v>
      </c>
      <c r="C32" s="8" t="s">
        <v>443</v>
      </c>
      <c r="D32" s="18"/>
      <c r="E32" s="18" t="n">
        <v>-23.78</v>
      </c>
      <c r="F32" s="28" t="n">
        <v>-0.38</v>
      </c>
      <c r="G32" s="18" t="n">
        <v>-34.45</v>
      </c>
      <c r="H32" s="28" t="n">
        <v>-0.61</v>
      </c>
      <c r="I32" s="16" t="s">
        <v>502</v>
      </c>
      <c r="J32" s="8"/>
      <c r="K32" s="21" t="s">
        <v>503</v>
      </c>
    </row>
    <row r="33" customFormat="false" ht="15" hidden="false" customHeight="false" outlineLevel="0" collapsed="false">
      <c r="A33" s="8" t="s">
        <v>504</v>
      </c>
      <c r="B33" s="8" t="s">
        <v>45</v>
      </c>
      <c r="C33" s="8" t="s">
        <v>443</v>
      </c>
      <c r="D33" s="18"/>
      <c r="E33" s="18" t="n">
        <v>-59.29</v>
      </c>
      <c r="F33" s="28" t="n">
        <v>-0.3</v>
      </c>
      <c r="G33" s="18" t="n">
        <v>54.35</v>
      </c>
      <c r="H33" s="28" t="n">
        <v>0.14</v>
      </c>
      <c r="I33" s="16" t="s">
        <v>505</v>
      </c>
      <c r="J33" s="8" t="s">
        <v>506</v>
      </c>
      <c r="K33" s="21" t="s">
        <v>507</v>
      </c>
    </row>
    <row r="34" customFormat="false" ht="15" hidden="false" customHeight="false" outlineLevel="0" collapsed="false">
      <c r="A34" s="8" t="s">
        <v>508</v>
      </c>
      <c r="B34" s="8" t="s">
        <v>45</v>
      </c>
      <c r="C34" s="8" t="s">
        <v>443</v>
      </c>
      <c r="D34" s="18"/>
      <c r="E34" s="18" t="n">
        <v>2.21</v>
      </c>
      <c r="F34" s="28" t="n">
        <v>1.21</v>
      </c>
      <c r="G34" s="18" t="n">
        <v>-0.21</v>
      </c>
      <c r="H34" s="28" t="n">
        <v>-0.17</v>
      </c>
      <c r="I34" s="16" t="s">
        <v>169</v>
      </c>
      <c r="J34" s="8"/>
      <c r="K34" s="21" t="s">
        <v>509</v>
      </c>
    </row>
    <row r="35" customFormat="false" ht="15" hidden="false" customHeight="false" outlineLevel="0" collapsed="false">
      <c r="A35" s="8" t="s">
        <v>510</v>
      </c>
      <c r="B35" s="8" t="s">
        <v>45</v>
      </c>
      <c r="C35" s="8" t="s">
        <v>443</v>
      </c>
      <c r="D35" s="18"/>
      <c r="E35" s="18" t="n">
        <v>2.05</v>
      </c>
      <c r="F35" s="28" t="n">
        <v>0.25</v>
      </c>
      <c r="G35" s="18" t="n">
        <v>1.89</v>
      </c>
      <c r="H35" s="28" t="n">
        <v>0.2</v>
      </c>
      <c r="I35" s="16" t="s">
        <v>511</v>
      </c>
      <c r="J35" s="8"/>
      <c r="K35" s="21" t="s">
        <v>512</v>
      </c>
    </row>
    <row r="36" customFormat="false" ht="15" hidden="false" customHeight="false" outlineLevel="0" collapsed="false">
      <c r="A36" s="8" t="s">
        <v>513</v>
      </c>
      <c r="B36" s="8" t="s">
        <v>45</v>
      </c>
      <c r="C36" s="8" t="s">
        <v>443</v>
      </c>
      <c r="D36" s="18"/>
      <c r="E36" s="18" t="n">
        <v>-8.83</v>
      </c>
      <c r="F36" s="28" t="n">
        <v>-0.23</v>
      </c>
      <c r="G36" s="18" t="n">
        <v>-6.22</v>
      </c>
      <c r="H36" s="28" t="n">
        <v>-0.19</v>
      </c>
      <c r="I36" s="16" t="s">
        <v>514</v>
      </c>
      <c r="J36" s="8"/>
      <c r="K36" s="21" t="s">
        <v>515</v>
      </c>
    </row>
    <row r="37" customFormat="false" ht="15" hidden="false" customHeight="false" outlineLevel="0" collapsed="false">
      <c r="A37" s="8" t="s">
        <v>57</v>
      </c>
      <c r="B37" s="8" t="s">
        <v>45</v>
      </c>
      <c r="C37" s="8" t="s">
        <v>443</v>
      </c>
      <c r="D37" s="18"/>
      <c r="E37" s="18" t="n">
        <v>0.03</v>
      </c>
      <c r="F37" s="28" t="n">
        <v>0</v>
      </c>
      <c r="G37" s="18" t="n">
        <v>-1.95</v>
      </c>
      <c r="H37" s="28" t="n">
        <v>-0.16</v>
      </c>
      <c r="I37" s="16" t="s">
        <v>516</v>
      </c>
      <c r="J37" s="8"/>
      <c r="K37" s="21" t="s">
        <v>517</v>
      </c>
    </row>
    <row r="38" customFormat="false" ht="15" hidden="false" customHeight="false" outlineLevel="0" collapsed="false">
      <c r="A38" s="8" t="s">
        <v>59</v>
      </c>
      <c r="B38" s="8" t="s">
        <v>45</v>
      </c>
      <c r="C38" s="8" t="s">
        <v>443</v>
      </c>
      <c r="D38" s="18"/>
      <c r="E38" s="18" t="n">
        <v>-34.84</v>
      </c>
      <c r="F38" s="28" t="n">
        <v>-0.48</v>
      </c>
      <c r="G38" s="18" t="n">
        <v>8.1</v>
      </c>
      <c r="H38" s="28" t="n">
        <v>0.12</v>
      </c>
      <c r="I38" s="16" t="s">
        <v>518</v>
      </c>
      <c r="J38" s="8"/>
      <c r="K38" s="21" t="s">
        <v>519</v>
      </c>
    </row>
    <row r="39" customFormat="false" ht="15" hidden="false" customHeight="false" outlineLevel="0" collapsed="false">
      <c r="A39" s="8" t="s">
        <v>520</v>
      </c>
      <c r="B39" s="8" t="s">
        <v>45</v>
      </c>
      <c r="C39" s="8" t="s">
        <v>443</v>
      </c>
      <c r="D39" s="18"/>
      <c r="E39" s="18" t="n">
        <v>2.77</v>
      </c>
      <c r="F39" s="28" t="n">
        <v>0.36</v>
      </c>
      <c r="G39" s="18" t="n">
        <v>86.63</v>
      </c>
      <c r="H39" s="28" t="n">
        <v>10.35</v>
      </c>
      <c r="I39" s="16" t="s">
        <v>521</v>
      </c>
      <c r="J39" s="8" t="s">
        <v>522</v>
      </c>
      <c r="K39" s="21" t="s">
        <v>523</v>
      </c>
    </row>
    <row r="40" customFormat="false" ht="15" hidden="false" customHeight="false" outlineLevel="0" collapsed="false">
      <c r="A40" s="8" t="s">
        <v>524</v>
      </c>
      <c r="B40" s="8" t="s">
        <v>45</v>
      </c>
      <c r="C40" s="8" t="s">
        <v>443</v>
      </c>
      <c r="D40" s="18"/>
      <c r="E40" s="18" t="n">
        <v>0.31</v>
      </c>
      <c r="F40" s="28" t="n">
        <v>0.09</v>
      </c>
      <c r="G40" s="18" t="n">
        <v>-0.48</v>
      </c>
      <c r="H40" s="28" t="n">
        <v>-0.09</v>
      </c>
      <c r="I40" s="16" t="s">
        <v>525</v>
      </c>
      <c r="J40" s="8"/>
      <c r="K40" s="21" t="s">
        <v>526</v>
      </c>
    </row>
    <row r="41" customFormat="false" ht="15" hidden="false" customHeight="false" outlineLevel="0" collapsed="false">
      <c r="A41" s="8" t="s">
        <v>527</v>
      </c>
      <c r="B41" s="8" t="s">
        <v>45</v>
      </c>
      <c r="C41" s="8" t="s">
        <v>443</v>
      </c>
      <c r="D41" s="18"/>
      <c r="E41" s="18" t="n">
        <v>-18.66</v>
      </c>
      <c r="F41" s="28" t="n">
        <v>-0.24</v>
      </c>
      <c r="G41" s="18" t="n">
        <v>85.68</v>
      </c>
      <c r="H41" s="28" t="n">
        <v>1.13</v>
      </c>
      <c r="I41" s="16" t="s">
        <v>528</v>
      </c>
      <c r="J41" s="8"/>
      <c r="K41" s="21" t="s">
        <v>529</v>
      </c>
    </row>
    <row r="42" customFormat="false" ht="15" hidden="false" customHeight="false" outlineLevel="0" collapsed="false">
      <c r="A42" s="8" t="s">
        <v>530</v>
      </c>
      <c r="B42" s="8" t="s">
        <v>45</v>
      </c>
      <c r="C42" s="8" t="s">
        <v>443</v>
      </c>
      <c r="D42" s="18"/>
      <c r="E42" s="18" t="n">
        <v>605.55</v>
      </c>
      <c r="F42" s="28" t="n">
        <v>1.76</v>
      </c>
      <c r="G42" s="18" t="n">
        <v>1104</v>
      </c>
      <c r="H42" s="28" t="n">
        <v>4.44</v>
      </c>
      <c r="I42" s="16" t="s">
        <v>531</v>
      </c>
      <c r="J42" s="8" t="s">
        <v>532</v>
      </c>
      <c r="K42" s="21" t="s">
        <v>533</v>
      </c>
    </row>
    <row r="43" customFormat="false" ht="15" hidden="false" customHeight="false" outlineLevel="0" collapsed="false">
      <c r="A43" s="8" t="s">
        <v>534</v>
      </c>
      <c r="B43" s="8" t="s">
        <v>45</v>
      </c>
      <c r="C43" s="8" t="s">
        <v>443</v>
      </c>
      <c r="D43" s="18"/>
      <c r="E43" s="18" t="n">
        <v>897.94</v>
      </c>
      <c r="F43" s="28" t="n">
        <v>17.25</v>
      </c>
      <c r="G43" s="18" t="n">
        <v>151.85</v>
      </c>
      <c r="H43" s="28" t="n">
        <v>2.8</v>
      </c>
      <c r="I43" s="16" t="s">
        <v>535</v>
      </c>
      <c r="J43" s="8" t="s">
        <v>536</v>
      </c>
      <c r="K43" s="21" t="s">
        <v>537</v>
      </c>
    </row>
    <row r="44" customFormat="false" ht="15" hidden="false" customHeight="false" outlineLevel="0" collapsed="false">
      <c r="A44" s="8" t="s">
        <v>538</v>
      </c>
      <c r="B44" s="8" t="s">
        <v>45</v>
      </c>
      <c r="C44" s="8" t="s">
        <v>443</v>
      </c>
      <c r="D44" s="18"/>
      <c r="E44" s="18" t="n">
        <v>1078</v>
      </c>
      <c r="F44" s="28" t="n">
        <v>0.83</v>
      </c>
      <c r="G44" s="18" t="n">
        <v>-428.07</v>
      </c>
      <c r="H44" s="28" t="n">
        <v>-0.32</v>
      </c>
      <c r="I44" s="16" t="s">
        <v>539</v>
      </c>
      <c r="J44" s="8" t="s">
        <v>532</v>
      </c>
      <c r="K44" s="21" t="s">
        <v>540</v>
      </c>
    </row>
    <row r="45" customFormat="false" ht="15" hidden="false" customHeight="false" outlineLevel="0" collapsed="false">
      <c r="A45" s="8" t="s">
        <v>541</v>
      </c>
      <c r="B45" s="8" t="s">
        <v>45</v>
      </c>
      <c r="C45" s="8" t="s">
        <v>443</v>
      </c>
      <c r="D45" s="18"/>
      <c r="E45" s="18"/>
      <c r="F45" s="28"/>
      <c r="G45" s="18" t="n">
        <v>422.01</v>
      </c>
      <c r="H45" s="28"/>
      <c r="I45" s="16" t="s">
        <v>468</v>
      </c>
      <c r="J45" s="8" t="s">
        <v>542</v>
      </c>
      <c r="K45" s="21" t="s">
        <v>543</v>
      </c>
    </row>
    <row r="46" customFormat="false" ht="15" hidden="false" customHeight="false" outlineLevel="0" collapsed="false">
      <c r="A46" s="8" t="s">
        <v>544</v>
      </c>
      <c r="B46" s="8" t="s">
        <v>45</v>
      </c>
      <c r="C46" s="8" t="s">
        <v>443</v>
      </c>
      <c r="D46" s="18"/>
      <c r="E46" s="18"/>
      <c r="F46" s="28"/>
      <c r="G46" s="18" t="n">
        <v>377.25</v>
      </c>
      <c r="H46" s="28"/>
      <c r="I46" s="16" t="s">
        <v>545</v>
      </c>
      <c r="J46" s="8" t="s">
        <v>542</v>
      </c>
      <c r="K46" s="21" t="s">
        <v>543</v>
      </c>
    </row>
    <row r="47" customFormat="false" ht="15" hidden="false" customHeight="false" outlineLevel="0" collapsed="false">
      <c r="A47" s="8" t="s">
        <v>546</v>
      </c>
      <c r="B47" s="8" t="s">
        <v>45</v>
      </c>
      <c r="C47" s="8" t="s">
        <v>443</v>
      </c>
      <c r="D47" s="18"/>
      <c r="E47" s="18"/>
      <c r="F47" s="28"/>
      <c r="G47" s="18" t="n">
        <v>2643</v>
      </c>
      <c r="H47" s="28"/>
      <c r="I47" s="16" t="s">
        <v>547</v>
      </c>
      <c r="J47" s="8" t="s">
        <v>542</v>
      </c>
      <c r="K47" s="21" t="s">
        <v>543</v>
      </c>
    </row>
    <row r="48" customFormat="false" ht="15" hidden="false" customHeight="false" outlineLevel="0" collapsed="false">
      <c r="A48" s="8" t="s">
        <v>548</v>
      </c>
      <c r="B48" s="8" t="s">
        <v>45</v>
      </c>
      <c r="C48" s="8" t="s">
        <v>443</v>
      </c>
      <c r="D48" s="18"/>
      <c r="E48" s="18"/>
      <c r="F48" s="28"/>
      <c r="G48" s="18" t="n">
        <v>140.51</v>
      </c>
      <c r="H48" s="28"/>
      <c r="I48" s="16" t="s">
        <v>549</v>
      </c>
      <c r="J48" s="8" t="s">
        <v>542</v>
      </c>
      <c r="K48" s="21" t="s">
        <v>543</v>
      </c>
    </row>
    <row r="49" customFormat="false" ht="15" hidden="false" customHeight="false" outlineLevel="0" collapsed="false">
      <c r="A49" s="8" t="s">
        <v>550</v>
      </c>
      <c r="B49" s="8" t="s">
        <v>45</v>
      </c>
      <c r="C49" s="8" t="s">
        <v>443</v>
      </c>
      <c r="D49" s="18"/>
      <c r="E49" s="18" t="n">
        <v>8.36</v>
      </c>
      <c r="F49" s="28" t="n">
        <v>1.69</v>
      </c>
      <c r="G49" s="18" t="n">
        <v>89.03</v>
      </c>
      <c r="H49" s="28" t="n">
        <v>14.91</v>
      </c>
      <c r="I49" s="16" t="s">
        <v>551</v>
      </c>
      <c r="J49" s="8" t="s">
        <v>552</v>
      </c>
      <c r="K49" s="21" t="s">
        <v>553</v>
      </c>
    </row>
  </sheetData>
  <hyperlinks>
    <hyperlink ref="K4" r:id="rId1" display="https://ahledger.com/wow-forever/recipes/14293-lesser-magic-wand"/>
    <hyperlink ref="K5" r:id="rId2" display="https://ahledger.com/wow-forever/recipes/14807-greater-magic-wand"/>
    <hyperlink ref="K6" r:id="rId3" display="https://ahledger.com/wow-forever/recipes/14809-lesser-mystic-wand"/>
    <hyperlink ref="K7" r:id="rId4" display="https://ahledger.com/wow-forever/recipes/14810-greater-mystic-wand"/>
    <hyperlink ref="K8" r:id="rId5" display="https://ahledger.com/wow-forever/recipes/1245321-novices-practice-wand"/>
    <hyperlink ref="K9" r:id="rId6" display="https://ahledger.com/wow-forever/recipes/1248461-twisted-nether-wand"/>
    <hyperlink ref="K10" r:id="rId7" display="https://ahledger.com/wow-forever/recipes/1248509-dreambough-wand"/>
    <hyperlink ref="K11" r:id="rId8" display="https://ahledger.com/wow-forever/recipes/1248505-lesser-eternal-wand"/>
    <hyperlink ref="K12" r:id="rId9" display="https://ahledger.com/wow-forever/recipes/1248515-greater-eternal-wand"/>
    <hyperlink ref="K13" r:id="rId10" display="https://www.wowhead.com/forever/item=249385/brilliant-wand"/>
    <hyperlink ref="K14" r:id="rId11" display="https://ahledger.com/wow-forever/recipes/25124-minor-wizard-oil"/>
    <hyperlink ref="K15" r:id="rId12" display="https://ahledger.com/wow-forever/recipes/25125-minor-mana-oil"/>
    <hyperlink ref="K16" r:id="rId13" display="https://ahledger.com/wow-forever/recipes/25126-lesser-wizard-oil"/>
    <hyperlink ref="K17" r:id="rId14" display="https://ahledger.com/wow-forever/recipes/25127-lesser-mana-oil"/>
    <hyperlink ref="K18" r:id="rId15" display="https://ahledger.com/wow-forever/recipes/25128-wizard-oil"/>
    <hyperlink ref="K19" r:id="rId16" display="https://ahledger.com/wow-forever/recipes/25129-brilliant-wizard-oil"/>
    <hyperlink ref="K20" r:id="rId17" display="https://ahledger.com/wow-forever/recipes/25130-brilliant-mana-oil"/>
    <hyperlink ref="K21" r:id="rId18" display="https://ahledger.com/wow-forever/recipes/1230643-enchanted-lute"/>
    <hyperlink ref="K22" r:id="rId19" display="https://ahledger.com/wow-forever/recipes/1263056-arcane-salvager"/>
    <hyperlink ref="K23" r:id="rId20" display="https://www.wowhead.com/forever/item=6218/runed-copper-rod"/>
    <hyperlink ref="K24" r:id="rId21" display="https://www.wowhead.com/forever/item=249392/glimmering-staff"/>
    <hyperlink ref="K25" r:id="rId22" display="https://us.forums.blizzard.com/en/wow/t/wow-forever-enchanting-vellums-are-needed-%E2%80%94-the-current-system-isnt-working/2375983"/>
    <hyperlink ref="K26" r:id="rId23" display="https://ahledger.com/wow-forever/recipes/1255124-mystic-medium-armor-kit"/>
    <hyperlink ref="K27" r:id="rId24" display="https://ahledger.com/wow-forever/recipes/2165-medium-armor-kit"/>
    <hyperlink ref="K28" r:id="rId25" display="https://ahledger.com/wow-forever/recipes/1255095-forceful-heavy-armor-kit"/>
    <hyperlink ref="K29" r:id="rId26" display="https://ahledger.com/wow-forever/recipes/1255123-forceful-medium-armor-kit"/>
    <hyperlink ref="K30" r:id="rId27" display="https://ahledger.com/wow-forever/recipes/1255096-mystic-heavy-armor-kit"/>
    <hyperlink ref="K31" r:id="rId28" display="https://ahledger.com/wow-forever/recipes/2152-light-armor-kit"/>
    <hyperlink ref="K32" r:id="rId29" display="https://ahledger.com/wow-forever/recipes/3780-heavy-armor-kit"/>
    <hyperlink ref="K33" r:id="rId30" display="https://ahledger.com/wow-forever/recipes/10487-thick-armor-kit"/>
    <hyperlink ref="K34" r:id="rId31" display="https://ahledger.com/wow-forever/recipes/3816-cured-light-hide"/>
    <hyperlink ref="K35" r:id="rId32" display="https://ahledger.com/wow-forever/recipes/3817-cured-medium-hide"/>
    <hyperlink ref="K36" r:id="rId33" display="https://ahledger.com/wow-forever/recipes/3818-cured-heavy-hide"/>
    <hyperlink ref="K37" r:id="rId34" display="https://ahledger.com/wow-forever/recipes/20649-heavy-leather"/>
    <hyperlink ref="K38" r:id="rId35" display="https://ahledger.com/wow-forever/recipes/20650-thick-leather"/>
    <hyperlink ref="K39" r:id="rId36" display="https://ahledger.com/wow-forever/recipes/1302604-light-leather-reagent-bag"/>
    <hyperlink ref="K40" r:id="rId37" display="https://ahledger.com/wow-forever/recipes/5244-kodo-hide-bag"/>
    <hyperlink ref="K41" r:id="rId38" display="https://ahledger.com/wow-forever/recipes/9193-heavy-quiver"/>
    <hyperlink ref="K42" r:id="rId39" display="https://ahledger.com/wow-forever/recipes/23399-barbaric-bracers"/>
    <hyperlink ref="K43" r:id="rId40" display="https://ahledger.com/wow-forever/recipes/9072-red-whelp-gloves"/>
    <hyperlink ref="K44" r:id="rId41" display="https://ahledger.com/wow-forever/recipes/9197-green-whelp-armor"/>
    <hyperlink ref="K45" r:id="rId42" display="https://ahledger.com/crafting?market=forever/pvp/horde/us"/>
    <hyperlink ref="K46" r:id="rId43" display="https://ahledger.com/crafting?market=forever/pvp/horde/us"/>
    <hyperlink ref="K47" r:id="rId44" display="https://ahledger.com/crafting?market=forever/pvp/horde/us"/>
    <hyperlink ref="K48" r:id="rId45" display="https://ahledger.com/crafting?market=forever/pvp/horde/us"/>
    <hyperlink ref="K49" r:id="rId46" display="https://ahledger.com/wow-forever/recipes/2163-white-leather-jerki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3" t="s">
        <v>554</v>
      </c>
    </row>
    <row r="2" customFormat="false" ht="15" hidden="false" customHeight="false" outlineLevel="0" collapsed="false">
      <c r="A2" s="6" t="s">
        <v>555</v>
      </c>
      <c r="B2" s="6" t="s">
        <v>556</v>
      </c>
    </row>
    <row r="3" customFormat="false" ht="15" hidden="false" customHeight="false" outlineLevel="0" collapsed="false">
      <c r="A3" s="8" t="s">
        <v>557</v>
      </c>
      <c r="B3" s="21" t="s">
        <v>558</v>
      </c>
    </row>
    <row r="4" customFormat="false" ht="15" hidden="false" customHeight="false" outlineLevel="0" collapsed="false">
      <c r="A4" s="8" t="s">
        <v>559</v>
      </c>
      <c r="B4" s="21" t="s">
        <v>560</v>
      </c>
    </row>
    <row r="5" customFormat="false" ht="15" hidden="false" customHeight="false" outlineLevel="0" collapsed="false">
      <c r="A5" s="8" t="s">
        <v>561</v>
      </c>
      <c r="B5" s="21" t="s">
        <v>562</v>
      </c>
    </row>
    <row r="6" customFormat="false" ht="15" hidden="false" customHeight="false" outlineLevel="0" collapsed="false">
      <c r="A6" s="8" t="s">
        <v>563</v>
      </c>
      <c r="B6" s="21" t="s">
        <v>564</v>
      </c>
    </row>
    <row r="7" customFormat="false" ht="15" hidden="false" customHeight="false" outlineLevel="0" collapsed="false">
      <c r="A7" s="8" t="s">
        <v>565</v>
      </c>
      <c r="B7" s="21" t="s">
        <v>566</v>
      </c>
    </row>
    <row r="8" customFormat="false" ht="15" hidden="false" customHeight="false" outlineLevel="0" collapsed="false">
      <c r="A8" s="8" t="s">
        <v>567</v>
      </c>
      <c r="B8" s="21" t="s">
        <v>543</v>
      </c>
    </row>
    <row r="9" customFormat="false" ht="15" hidden="false" customHeight="false" outlineLevel="0" collapsed="false">
      <c r="A9" s="8" t="s">
        <v>568</v>
      </c>
      <c r="B9" s="21" t="s">
        <v>569</v>
      </c>
    </row>
    <row r="10" customFormat="false" ht="15" hidden="false" customHeight="false" outlineLevel="0" collapsed="false">
      <c r="A10" s="8" t="s">
        <v>570</v>
      </c>
      <c r="B10" s="21" t="s">
        <v>571</v>
      </c>
    </row>
    <row r="11" customFormat="false" ht="15" hidden="false" customHeight="false" outlineLevel="0" collapsed="false">
      <c r="A11" s="8" t="s">
        <v>572</v>
      </c>
      <c r="B11" s="21" t="s">
        <v>573</v>
      </c>
    </row>
    <row r="12" customFormat="false" ht="15" hidden="false" customHeight="false" outlineLevel="0" collapsed="false">
      <c r="A12" s="8" t="s">
        <v>574</v>
      </c>
      <c r="B12" s="21" t="s">
        <v>170</v>
      </c>
    </row>
    <row r="13" customFormat="false" ht="15" hidden="false" customHeight="false" outlineLevel="0" collapsed="false">
      <c r="A13" s="8" t="s">
        <v>575</v>
      </c>
      <c r="B13" s="21" t="s">
        <v>576</v>
      </c>
    </row>
    <row r="14" customFormat="false" ht="15" hidden="false" customHeight="false" outlineLevel="0" collapsed="false">
      <c r="A14" s="8" t="s">
        <v>577</v>
      </c>
      <c r="B14" s="21" t="s">
        <v>578</v>
      </c>
    </row>
    <row r="15" customFormat="false" ht="15" hidden="false" customHeight="false" outlineLevel="0" collapsed="false">
      <c r="A15" s="8" t="s">
        <v>579</v>
      </c>
      <c r="B15" s="21" t="s">
        <v>580</v>
      </c>
    </row>
    <row r="16" customFormat="false" ht="15" hidden="false" customHeight="false" outlineLevel="0" collapsed="false">
      <c r="A16" s="8" t="s">
        <v>581</v>
      </c>
      <c r="B16" s="21" t="s">
        <v>582</v>
      </c>
    </row>
    <row r="17" customFormat="false" ht="15" hidden="false" customHeight="false" outlineLevel="0" collapsed="false">
      <c r="A17" s="8" t="s">
        <v>583</v>
      </c>
      <c r="B17" s="21" t="s">
        <v>584</v>
      </c>
    </row>
    <row r="18" customFormat="false" ht="15" hidden="false" customHeight="false" outlineLevel="0" collapsed="false">
      <c r="A18" s="8" t="s">
        <v>585</v>
      </c>
      <c r="B18" s="21" t="s">
        <v>484</v>
      </c>
    </row>
    <row r="19" customFormat="false" ht="15" hidden="false" customHeight="false" outlineLevel="0" collapsed="false">
      <c r="A19" s="8" t="s">
        <v>586</v>
      </c>
      <c r="B19" s="21" t="s">
        <v>587</v>
      </c>
    </row>
    <row r="20" customFormat="false" ht="15" hidden="false" customHeight="false" outlineLevel="0" collapsed="false">
      <c r="A20" s="8" t="s">
        <v>588</v>
      </c>
      <c r="B20" s="21" t="s">
        <v>589</v>
      </c>
    </row>
    <row r="21" customFormat="false" ht="15" hidden="false" customHeight="false" outlineLevel="0" collapsed="false">
      <c r="A21" s="8" t="s">
        <v>590</v>
      </c>
      <c r="B21" s="21" t="s">
        <v>591</v>
      </c>
    </row>
    <row r="22" customFormat="false" ht="15" hidden="false" customHeight="false" outlineLevel="0" collapsed="false">
      <c r="A22" s="8" t="s">
        <v>592</v>
      </c>
      <c r="B22" s="21" t="s">
        <v>593</v>
      </c>
    </row>
    <row r="23" customFormat="false" ht="15" hidden="false" customHeight="false" outlineLevel="0" collapsed="false">
      <c r="A23" s="8" t="s">
        <v>594</v>
      </c>
      <c r="B23" s="21" t="s">
        <v>595</v>
      </c>
    </row>
    <row r="25" customFormat="false" ht="15" hidden="false" customHeight="false" outlineLevel="0" collapsed="false">
      <c r="A25" s="2" t="s">
        <v>596</v>
      </c>
    </row>
  </sheetData>
  <hyperlinks>
    <hyperlink ref="B3" r:id="rId1" display="https://www.wowhead.com/classic/guide/leatherworking-leveling-1-300-wow-classic"/>
    <hyperlink ref="B4" r:id="rId2" display="https://www.wowhead.com/classic/guide/enchanting-leveling-1-300-wow-classic"/>
    <hyperlink ref="B5" r:id="rId3" display="https://ahledger.com/"/>
    <hyperlink ref="B6" r:id="rId4" display="https://ahledger.com/markets/forever/normal/horde/us"/>
    <hyperlink ref="B7" r:id="rId5" display="https://ahledger.com/markets/forever/pvp/horde/us"/>
    <hyperlink ref="B8" r:id="rId6" display="https://ahledger.com/crafting?market=forever/pvp/horde/us"/>
    <hyperlink ref="B9" r:id="rId7" display="https://ahledger.com/wow-forever/enchants"/>
    <hyperlink ref="B10" r:id="rId8" display="https://www.wow-professions.com/forever/disenchanting-guide"/>
    <hyperlink ref="B11" r:id="rId9" display="https://www.wow-professions.com/forever/leatherworking-leveling-guide"/>
    <hyperlink ref="B12" r:id="rId10" display="https://www.wow-professions.com/forever/enchanting-leveling-guide"/>
    <hyperlink ref="B13" r:id="rId11" display="https://www.wow-professions.com/forever/enchanting-trainers"/>
    <hyperlink ref="B14" r:id="rId12" display="https://www.icy-veins.com/wow-forever/enchanting"/>
    <hyperlink ref="B15" r:id="rId13" display="https://www.warcrafttavern.com/forever/guides/beta/"/>
    <hyperlink ref="B16" r:id="rId14" display="https://us.forums.blizzard.com/en/wow/t/wow-forever-beta-development-notes-%E2%80%93-updated-october-8/2360696/4"/>
    <hyperlink ref="B17" r:id="rId15" display="https://us.forums.blizzard.com/en/wow/t/wow-forever-beta-development-notes-%E2%80%93-updated-october-8/2360696/5"/>
    <hyperlink ref="B18" r:id="rId16" display="https://us.forums.blizzard.com/en/wow/t/wow-forever-enchanting-vellums-are-needed-%E2%80%94-the-current-system-isnt-working/2375983"/>
    <hyperlink ref="B19" r:id="rId17" display="https://us.forums.blizzard.com/en/wow/t/can-we-have-enchanting-vellum/2355783"/>
    <hyperlink ref="B20" r:id="rId18" display="https://us.forums.blizzard.com/en/wow/t/enchanting-nerf/2369090"/>
    <hyperlink ref="B21" r:id="rId19" display="https://www.wowhead.com/forever/item=279985/arcane-salvager"/>
    <hyperlink ref="B22" r:id="rId20" display="https://www.wowhead.com/forever/guide/camping-overview-unlock-rewards"/>
    <hyperlink ref="B23" r:id="rId21" display="https://warcraft.wiki.gg/wiki/Thread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2026-10-12T22:02:36Z</dcterms:created>
  <dc:creator>openpyxl</dc:creator>
  <dc:description/>
  <dc:language>en-US</dc:language>
  <cp:lastModifiedBy/>
  <dcterms:modified xsi:type="dcterms:W3CDTF">2026-10-12T22:02:36Z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